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GitHubUtil\"/>
    </mc:Choice>
  </mc:AlternateContent>
  <bookViews>
    <workbookView xWindow="0" yWindow="0" windowWidth="20220" windowHeight="8145" firstSheet="1" activeTab="1"/>
  </bookViews>
  <sheets>
    <sheet name="Test" sheetId="1" state="hidden" r:id="rId1"/>
    <sheet name="TFS" sheetId="2" r:id="rId2"/>
    <sheet name="Projects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2" l="1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3" i="2"/>
  <c r="E4" i="2"/>
  <c r="F4" i="2"/>
  <c r="I4" i="2"/>
  <c r="E5" i="2"/>
  <c r="F5" i="2"/>
  <c r="I5" i="2"/>
  <c r="E6" i="2"/>
  <c r="F6" i="2"/>
  <c r="I6" i="2"/>
  <c r="E7" i="2"/>
  <c r="F7" i="2"/>
  <c r="G7" i="2"/>
  <c r="H7" i="2"/>
  <c r="I7" i="2"/>
  <c r="J7" i="2"/>
  <c r="K7" i="2"/>
  <c r="L7" i="2"/>
  <c r="M7" i="2"/>
  <c r="N7" i="2"/>
  <c r="O7" i="2"/>
  <c r="Q7" i="2"/>
  <c r="R7" i="2"/>
  <c r="S7" i="2"/>
  <c r="E8" i="2"/>
  <c r="F8" i="2"/>
  <c r="G8" i="2"/>
  <c r="H8" i="2"/>
  <c r="I8" i="2"/>
  <c r="J8" i="2"/>
  <c r="K8" i="2"/>
  <c r="L8" i="2"/>
  <c r="M8" i="2"/>
  <c r="N8" i="2"/>
  <c r="O8" i="2"/>
  <c r="Q8" i="2"/>
  <c r="R8" i="2"/>
  <c r="S8" i="2"/>
  <c r="E9" i="2"/>
  <c r="F9" i="2"/>
  <c r="G9" i="2"/>
  <c r="H9" i="2"/>
  <c r="I9" i="2"/>
  <c r="J9" i="2"/>
  <c r="K9" i="2"/>
  <c r="L9" i="2"/>
  <c r="M9" i="2"/>
  <c r="N9" i="2"/>
  <c r="O9" i="2"/>
  <c r="Q9" i="2"/>
  <c r="R9" i="2"/>
  <c r="S9" i="2"/>
  <c r="E10" i="2"/>
  <c r="F10" i="2"/>
  <c r="G10" i="2"/>
  <c r="H10" i="2"/>
  <c r="I10" i="2"/>
  <c r="J10" i="2"/>
  <c r="K10" i="2"/>
  <c r="L10" i="2"/>
  <c r="M10" i="2"/>
  <c r="N10" i="2"/>
  <c r="O10" i="2"/>
  <c r="Q10" i="2"/>
  <c r="R10" i="2"/>
  <c r="S10" i="2"/>
  <c r="E11" i="2"/>
  <c r="F11" i="2"/>
  <c r="G11" i="2"/>
  <c r="H11" i="2"/>
  <c r="I11" i="2"/>
  <c r="J11" i="2"/>
  <c r="K11" i="2"/>
  <c r="L11" i="2"/>
  <c r="M11" i="2"/>
  <c r="N11" i="2"/>
  <c r="O11" i="2"/>
  <c r="Q11" i="2"/>
  <c r="R11" i="2"/>
  <c r="S11" i="2"/>
  <c r="E12" i="2"/>
  <c r="F12" i="2"/>
  <c r="G12" i="2"/>
  <c r="H12" i="2"/>
  <c r="I12" i="2"/>
  <c r="J12" i="2"/>
  <c r="K12" i="2"/>
  <c r="L12" i="2"/>
  <c r="M12" i="2"/>
  <c r="N12" i="2"/>
  <c r="O12" i="2"/>
  <c r="Q12" i="2"/>
  <c r="R12" i="2"/>
  <c r="S12" i="2"/>
  <c r="E13" i="2"/>
  <c r="F13" i="2"/>
  <c r="G13" i="2"/>
  <c r="H13" i="2"/>
  <c r="I13" i="2"/>
  <c r="J13" i="2"/>
  <c r="K13" i="2"/>
  <c r="L13" i="2"/>
  <c r="M13" i="2"/>
  <c r="N13" i="2"/>
  <c r="O13" i="2"/>
  <c r="Q13" i="2"/>
  <c r="R13" i="2"/>
  <c r="S13" i="2"/>
  <c r="E14" i="2"/>
  <c r="F14" i="2"/>
  <c r="G14" i="2"/>
  <c r="H14" i="2"/>
  <c r="I14" i="2"/>
  <c r="J14" i="2"/>
  <c r="K14" i="2"/>
  <c r="L14" i="2"/>
  <c r="M14" i="2"/>
  <c r="N14" i="2"/>
  <c r="O14" i="2"/>
  <c r="Q14" i="2"/>
  <c r="R14" i="2"/>
  <c r="S14" i="2"/>
  <c r="E15" i="2"/>
  <c r="F15" i="2"/>
  <c r="G15" i="2"/>
  <c r="H15" i="2"/>
  <c r="I15" i="2"/>
  <c r="J15" i="2"/>
  <c r="K15" i="2"/>
  <c r="L15" i="2"/>
  <c r="M15" i="2"/>
  <c r="N15" i="2"/>
  <c r="O15" i="2"/>
  <c r="Q15" i="2"/>
  <c r="R15" i="2"/>
  <c r="S15" i="2"/>
  <c r="E16" i="2"/>
  <c r="F16" i="2"/>
  <c r="G16" i="2"/>
  <c r="H16" i="2"/>
  <c r="I16" i="2"/>
  <c r="J16" i="2"/>
  <c r="K16" i="2"/>
  <c r="L16" i="2"/>
  <c r="M16" i="2"/>
  <c r="N16" i="2"/>
  <c r="O16" i="2"/>
  <c r="Q16" i="2"/>
  <c r="R16" i="2"/>
  <c r="S16" i="2"/>
  <c r="E17" i="2"/>
  <c r="F17" i="2"/>
  <c r="G17" i="2"/>
  <c r="H17" i="2"/>
  <c r="I17" i="2"/>
  <c r="J17" i="2"/>
  <c r="K17" i="2"/>
  <c r="L17" i="2"/>
  <c r="M17" i="2"/>
  <c r="N17" i="2"/>
  <c r="O17" i="2"/>
  <c r="Q17" i="2"/>
  <c r="R17" i="2"/>
  <c r="S17" i="2"/>
  <c r="E18" i="2"/>
  <c r="F18" i="2"/>
  <c r="G18" i="2"/>
  <c r="H18" i="2"/>
  <c r="I18" i="2"/>
  <c r="J18" i="2"/>
  <c r="K18" i="2"/>
  <c r="L18" i="2"/>
  <c r="M18" i="2"/>
  <c r="N18" i="2"/>
  <c r="O18" i="2"/>
  <c r="Q18" i="2"/>
  <c r="R18" i="2"/>
  <c r="S18" i="2"/>
  <c r="E19" i="2"/>
  <c r="F19" i="2"/>
  <c r="G19" i="2"/>
  <c r="H19" i="2"/>
  <c r="I19" i="2"/>
  <c r="J19" i="2"/>
  <c r="K19" i="2"/>
  <c r="L19" i="2"/>
  <c r="M19" i="2"/>
  <c r="N19" i="2"/>
  <c r="O19" i="2"/>
  <c r="Q19" i="2"/>
  <c r="R19" i="2"/>
  <c r="S19" i="2"/>
  <c r="E20" i="2"/>
  <c r="F20" i="2"/>
  <c r="G20" i="2"/>
  <c r="H20" i="2"/>
  <c r="I20" i="2"/>
  <c r="J20" i="2"/>
  <c r="K20" i="2"/>
  <c r="L20" i="2"/>
  <c r="M20" i="2"/>
  <c r="N20" i="2"/>
  <c r="O20" i="2"/>
  <c r="Q20" i="2"/>
  <c r="R20" i="2"/>
  <c r="S20" i="2"/>
  <c r="E21" i="2"/>
  <c r="F21" i="2"/>
  <c r="G21" i="2"/>
  <c r="H21" i="2"/>
  <c r="I21" i="2"/>
  <c r="J21" i="2"/>
  <c r="K21" i="2"/>
  <c r="L21" i="2"/>
  <c r="M21" i="2"/>
  <c r="N21" i="2"/>
  <c r="O21" i="2"/>
  <c r="Q21" i="2"/>
  <c r="R21" i="2"/>
  <c r="S21" i="2"/>
  <c r="E22" i="2"/>
  <c r="F22" i="2"/>
  <c r="G22" i="2"/>
  <c r="H22" i="2"/>
  <c r="I22" i="2"/>
  <c r="J22" i="2"/>
  <c r="K22" i="2"/>
  <c r="L22" i="2"/>
  <c r="M22" i="2"/>
  <c r="N22" i="2"/>
  <c r="O22" i="2"/>
  <c r="Q22" i="2"/>
  <c r="R22" i="2"/>
  <c r="S22" i="2"/>
  <c r="E23" i="2"/>
  <c r="F23" i="2"/>
  <c r="G23" i="2"/>
  <c r="H23" i="2"/>
  <c r="I23" i="2"/>
  <c r="J23" i="2"/>
  <c r="K23" i="2"/>
  <c r="L23" i="2"/>
  <c r="M23" i="2"/>
  <c r="N23" i="2"/>
  <c r="O23" i="2"/>
  <c r="Q23" i="2"/>
  <c r="R23" i="2"/>
  <c r="S23" i="2"/>
  <c r="E24" i="2"/>
  <c r="F24" i="2"/>
  <c r="G24" i="2"/>
  <c r="H24" i="2"/>
  <c r="I24" i="2"/>
  <c r="J24" i="2"/>
  <c r="K24" i="2"/>
  <c r="L24" i="2"/>
  <c r="M24" i="2"/>
  <c r="N24" i="2"/>
  <c r="O24" i="2"/>
  <c r="Q24" i="2"/>
  <c r="R24" i="2"/>
  <c r="S24" i="2"/>
  <c r="E25" i="2"/>
  <c r="F25" i="2"/>
  <c r="G25" i="2"/>
  <c r="H25" i="2"/>
  <c r="I25" i="2"/>
  <c r="J25" i="2"/>
  <c r="K25" i="2"/>
  <c r="L25" i="2"/>
  <c r="M25" i="2"/>
  <c r="N25" i="2"/>
  <c r="O25" i="2"/>
  <c r="Q25" i="2"/>
  <c r="R25" i="2"/>
  <c r="S25" i="2"/>
  <c r="E26" i="2"/>
  <c r="F26" i="2"/>
  <c r="G26" i="2"/>
  <c r="H26" i="2"/>
  <c r="I26" i="2"/>
  <c r="J26" i="2"/>
  <c r="K26" i="2"/>
  <c r="L26" i="2"/>
  <c r="M26" i="2"/>
  <c r="N26" i="2"/>
  <c r="O26" i="2"/>
  <c r="Q26" i="2"/>
  <c r="R26" i="2"/>
  <c r="S26" i="2"/>
  <c r="E27" i="2"/>
  <c r="F27" i="2"/>
  <c r="G27" i="2"/>
  <c r="H27" i="2"/>
  <c r="I27" i="2"/>
  <c r="J27" i="2"/>
  <c r="K27" i="2"/>
  <c r="L27" i="2"/>
  <c r="M27" i="2"/>
  <c r="N27" i="2"/>
  <c r="O27" i="2"/>
  <c r="Q27" i="2"/>
  <c r="R27" i="2"/>
  <c r="S27" i="2"/>
  <c r="E28" i="2"/>
  <c r="F28" i="2"/>
  <c r="G28" i="2"/>
  <c r="H28" i="2"/>
  <c r="I28" i="2"/>
  <c r="J28" i="2"/>
  <c r="K28" i="2"/>
  <c r="L28" i="2"/>
  <c r="M28" i="2"/>
  <c r="N28" i="2"/>
  <c r="O28" i="2"/>
  <c r="Q28" i="2"/>
  <c r="R28" i="2"/>
  <c r="S28" i="2"/>
  <c r="E29" i="2"/>
  <c r="F29" i="2"/>
  <c r="G29" i="2"/>
  <c r="H29" i="2"/>
  <c r="I29" i="2"/>
  <c r="J29" i="2"/>
  <c r="K29" i="2"/>
  <c r="L29" i="2"/>
  <c r="M29" i="2"/>
  <c r="N29" i="2"/>
  <c r="O29" i="2"/>
  <c r="Q29" i="2"/>
  <c r="R29" i="2"/>
  <c r="S29" i="2"/>
  <c r="E30" i="2"/>
  <c r="F30" i="2"/>
  <c r="G30" i="2"/>
  <c r="H30" i="2"/>
  <c r="I30" i="2"/>
  <c r="J30" i="2"/>
  <c r="K30" i="2"/>
  <c r="L30" i="2"/>
  <c r="M30" i="2"/>
  <c r="N30" i="2"/>
  <c r="O30" i="2"/>
  <c r="Q30" i="2"/>
  <c r="R30" i="2"/>
  <c r="S30" i="2"/>
  <c r="E31" i="2"/>
  <c r="F31" i="2"/>
  <c r="G31" i="2"/>
  <c r="H31" i="2"/>
  <c r="I31" i="2"/>
  <c r="J31" i="2"/>
  <c r="K31" i="2"/>
  <c r="L31" i="2"/>
  <c r="M31" i="2"/>
  <c r="N31" i="2"/>
  <c r="O31" i="2"/>
  <c r="Q31" i="2"/>
  <c r="R31" i="2"/>
  <c r="S31" i="2"/>
  <c r="E32" i="2"/>
  <c r="F32" i="2"/>
  <c r="G32" i="2"/>
  <c r="H32" i="2"/>
  <c r="I32" i="2"/>
  <c r="J32" i="2"/>
  <c r="K32" i="2"/>
  <c r="L32" i="2"/>
  <c r="M32" i="2"/>
  <c r="N32" i="2"/>
  <c r="O32" i="2"/>
  <c r="Q32" i="2"/>
  <c r="R32" i="2"/>
  <c r="S32" i="2"/>
  <c r="E33" i="2"/>
  <c r="F33" i="2"/>
  <c r="G33" i="2"/>
  <c r="H33" i="2"/>
  <c r="I33" i="2"/>
  <c r="J33" i="2"/>
  <c r="K33" i="2"/>
  <c r="L33" i="2"/>
  <c r="M33" i="2"/>
  <c r="N33" i="2"/>
  <c r="O33" i="2"/>
  <c r="Q33" i="2"/>
  <c r="R33" i="2"/>
  <c r="S33" i="2"/>
  <c r="E34" i="2"/>
  <c r="F34" i="2"/>
  <c r="G34" i="2"/>
  <c r="H34" i="2"/>
  <c r="I34" i="2"/>
  <c r="J34" i="2"/>
  <c r="K34" i="2"/>
  <c r="L34" i="2"/>
  <c r="M34" i="2"/>
  <c r="N34" i="2"/>
  <c r="O34" i="2"/>
  <c r="Q34" i="2"/>
  <c r="R34" i="2"/>
  <c r="S34" i="2"/>
  <c r="E35" i="2"/>
  <c r="F35" i="2"/>
  <c r="G35" i="2"/>
  <c r="H35" i="2"/>
  <c r="I35" i="2"/>
  <c r="J35" i="2"/>
  <c r="K35" i="2"/>
  <c r="L35" i="2"/>
  <c r="M35" i="2"/>
  <c r="N35" i="2"/>
  <c r="O35" i="2"/>
  <c r="Q35" i="2"/>
  <c r="R35" i="2"/>
  <c r="S35" i="2"/>
  <c r="E36" i="2"/>
  <c r="F36" i="2"/>
  <c r="G36" i="2"/>
  <c r="H36" i="2"/>
  <c r="I36" i="2"/>
  <c r="J36" i="2"/>
  <c r="K36" i="2"/>
  <c r="L36" i="2"/>
  <c r="M36" i="2"/>
  <c r="N36" i="2"/>
  <c r="O36" i="2"/>
  <c r="Q36" i="2"/>
  <c r="R36" i="2"/>
  <c r="S36" i="2"/>
  <c r="E37" i="2"/>
  <c r="F37" i="2"/>
  <c r="G37" i="2"/>
  <c r="H37" i="2"/>
  <c r="I37" i="2"/>
  <c r="J37" i="2"/>
  <c r="K37" i="2"/>
  <c r="L37" i="2"/>
  <c r="M37" i="2"/>
  <c r="N37" i="2"/>
  <c r="O37" i="2"/>
  <c r="Q37" i="2"/>
  <c r="R37" i="2"/>
  <c r="S37" i="2"/>
  <c r="E38" i="2"/>
  <c r="F38" i="2"/>
  <c r="G38" i="2"/>
  <c r="H38" i="2"/>
  <c r="I38" i="2"/>
  <c r="J38" i="2"/>
  <c r="K38" i="2"/>
  <c r="L38" i="2"/>
  <c r="M38" i="2"/>
  <c r="N38" i="2"/>
  <c r="O38" i="2"/>
  <c r="Q38" i="2"/>
  <c r="R38" i="2"/>
  <c r="S38" i="2"/>
  <c r="E39" i="2"/>
  <c r="F39" i="2"/>
  <c r="G39" i="2"/>
  <c r="H39" i="2"/>
  <c r="I39" i="2"/>
  <c r="J39" i="2"/>
  <c r="K39" i="2"/>
  <c r="L39" i="2"/>
  <c r="M39" i="2"/>
  <c r="N39" i="2"/>
  <c r="O39" i="2"/>
  <c r="Q39" i="2"/>
  <c r="R39" i="2"/>
  <c r="S39" i="2"/>
  <c r="E40" i="2"/>
  <c r="F40" i="2"/>
  <c r="G40" i="2"/>
  <c r="H40" i="2"/>
  <c r="I40" i="2"/>
  <c r="J40" i="2"/>
  <c r="K40" i="2"/>
  <c r="L40" i="2"/>
  <c r="M40" i="2"/>
  <c r="N40" i="2"/>
  <c r="O40" i="2"/>
  <c r="Q40" i="2"/>
  <c r="R40" i="2"/>
  <c r="S40" i="2"/>
  <c r="E41" i="2"/>
  <c r="F41" i="2"/>
  <c r="G41" i="2"/>
  <c r="H41" i="2"/>
  <c r="I41" i="2"/>
  <c r="J41" i="2"/>
  <c r="K41" i="2"/>
  <c r="L41" i="2"/>
  <c r="M41" i="2"/>
  <c r="N41" i="2"/>
  <c r="O41" i="2"/>
  <c r="Q41" i="2"/>
  <c r="R41" i="2"/>
  <c r="S41" i="2"/>
  <c r="E42" i="2"/>
  <c r="F42" i="2"/>
  <c r="G42" i="2"/>
  <c r="H42" i="2"/>
  <c r="I42" i="2"/>
  <c r="J42" i="2"/>
  <c r="K42" i="2"/>
  <c r="L42" i="2"/>
  <c r="M42" i="2"/>
  <c r="N42" i="2"/>
  <c r="O42" i="2"/>
  <c r="Q42" i="2"/>
  <c r="R42" i="2"/>
  <c r="S42" i="2"/>
  <c r="E43" i="2"/>
  <c r="F43" i="2"/>
  <c r="G43" i="2"/>
  <c r="H43" i="2"/>
  <c r="I43" i="2"/>
  <c r="J43" i="2"/>
  <c r="K43" i="2"/>
  <c r="L43" i="2"/>
  <c r="M43" i="2"/>
  <c r="N43" i="2"/>
  <c r="O43" i="2"/>
  <c r="Q43" i="2"/>
  <c r="R43" i="2"/>
  <c r="S43" i="2"/>
  <c r="E44" i="2"/>
  <c r="F44" i="2"/>
  <c r="G44" i="2"/>
  <c r="H44" i="2"/>
  <c r="I44" i="2"/>
  <c r="J44" i="2"/>
  <c r="K44" i="2"/>
  <c r="L44" i="2"/>
  <c r="M44" i="2"/>
  <c r="N44" i="2"/>
  <c r="O44" i="2"/>
  <c r="Q44" i="2"/>
  <c r="R44" i="2"/>
  <c r="S44" i="2"/>
  <c r="E45" i="2"/>
  <c r="F45" i="2"/>
  <c r="G45" i="2"/>
  <c r="H45" i="2"/>
  <c r="I45" i="2"/>
  <c r="J45" i="2"/>
  <c r="K45" i="2"/>
  <c r="L45" i="2"/>
  <c r="M45" i="2"/>
  <c r="N45" i="2"/>
  <c r="O45" i="2"/>
  <c r="Q45" i="2"/>
  <c r="R45" i="2"/>
  <c r="S45" i="2"/>
  <c r="E46" i="2"/>
  <c r="F46" i="2"/>
  <c r="G46" i="2"/>
  <c r="H46" i="2"/>
  <c r="I46" i="2"/>
  <c r="J46" i="2"/>
  <c r="K46" i="2"/>
  <c r="L46" i="2"/>
  <c r="M46" i="2"/>
  <c r="N46" i="2"/>
  <c r="O46" i="2"/>
  <c r="Q46" i="2"/>
  <c r="R46" i="2"/>
  <c r="S46" i="2"/>
  <c r="E47" i="2"/>
  <c r="F47" i="2"/>
  <c r="G47" i="2"/>
  <c r="H47" i="2"/>
  <c r="I47" i="2"/>
  <c r="J47" i="2"/>
  <c r="K47" i="2"/>
  <c r="L47" i="2"/>
  <c r="M47" i="2"/>
  <c r="N47" i="2"/>
  <c r="O47" i="2"/>
  <c r="Q47" i="2"/>
  <c r="R47" i="2"/>
  <c r="S47" i="2"/>
  <c r="E48" i="2"/>
  <c r="F48" i="2"/>
  <c r="G48" i="2"/>
  <c r="H48" i="2"/>
  <c r="I48" i="2"/>
  <c r="J48" i="2"/>
  <c r="K48" i="2"/>
  <c r="L48" i="2"/>
  <c r="M48" i="2"/>
  <c r="N48" i="2"/>
  <c r="O48" i="2"/>
  <c r="Q48" i="2"/>
  <c r="R48" i="2"/>
  <c r="S48" i="2"/>
  <c r="E49" i="2"/>
  <c r="F49" i="2"/>
  <c r="G49" i="2"/>
  <c r="H49" i="2"/>
  <c r="I49" i="2"/>
  <c r="J49" i="2"/>
  <c r="K49" i="2"/>
  <c r="L49" i="2"/>
  <c r="M49" i="2"/>
  <c r="N49" i="2"/>
  <c r="O49" i="2"/>
  <c r="Q49" i="2"/>
  <c r="R49" i="2"/>
  <c r="S49" i="2"/>
  <c r="E50" i="2"/>
  <c r="F50" i="2"/>
  <c r="G50" i="2"/>
  <c r="H50" i="2"/>
  <c r="I50" i="2"/>
  <c r="J50" i="2"/>
  <c r="K50" i="2"/>
  <c r="L50" i="2"/>
  <c r="M50" i="2"/>
  <c r="N50" i="2"/>
  <c r="O50" i="2"/>
  <c r="Q50" i="2"/>
  <c r="R50" i="2"/>
  <c r="S50" i="2"/>
  <c r="E51" i="2"/>
  <c r="F51" i="2"/>
  <c r="G51" i="2"/>
  <c r="H51" i="2"/>
  <c r="I51" i="2"/>
  <c r="J51" i="2"/>
  <c r="K51" i="2"/>
  <c r="L51" i="2"/>
  <c r="M51" i="2"/>
  <c r="N51" i="2"/>
  <c r="O51" i="2"/>
  <c r="Q51" i="2"/>
  <c r="R51" i="2"/>
  <c r="S51" i="2"/>
  <c r="E52" i="2"/>
  <c r="F52" i="2"/>
  <c r="G52" i="2"/>
  <c r="H52" i="2"/>
  <c r="I52" i="2"/>
  <c r="J52" i="2"/>
  <c r="K52" i="2"/>
  <c r="L52" i="2"/>
  <c r="M52" i="2"/>
  <c r="N52" i="2"/>
  <c r="O52" i="2"/>
  <c r="Q52" i="2"/>
  <c r="R52" i="2"/>
  <c r="S52" i="2"/>
  <c r="E53" i="2"/>
  <c r="F53" i="2"/>
  <c r="G53" i="2"/>
  <c r="H53" i="2"/>
  <c r="I53" i="2"/>
  <c r="J53" i="2"/>
  <c r="K53" i="2"/>
  <c r="L53" i="2"/>
  <c r="M53" i="2"/>
  <c r="N53" i="2"/>
  <c r="O53" i="2"/>
  <c r="Q53" i="2"/>
  <c r="R53" i="2"/>
  <c r="S53" i="2"/>
  <c r="E54" i="2"/>
  <c r="F54" i="2"/>
  <c r="G54" i="2"/>
  <c r="H54" i="2"/>
  <c r="I54" i="2"/>
  <c r="J54" i="2"/>
  <c r="K54" i="2"/>
  <c r="L54" i="2"/>
  <c r="M54" i="2"/>
  <c r="N54" i="2"/>
  <c r="O54" i="2"/>
  <c r="Q54" i="2"/>
  <c r="R54" i="2"/>
  <c r="S54" i="2"/>
  <c r="E55" i="2"/>
  <c r="F55" i="2"/>
  <c r="G55" i="2"/>
  <c r="H55" i="2"/>
  <c r="I55" i="2"/>
  <c r="J55" i="2"/>
  <c r="K55" i="2"/>
  <c r="L55" i="2"/>
  <c r="M55" i="2"/>
  <c r="N55" i="2"/>
  <c r="O55" i="2"/>
  <c r="Q55" i="2"/>
  <c r="R55" i="2"/>
  <c r="S55" i="2"/>
  <c r="E56" i="2"/>
  <c r="F56" i="2"/>
  <c r="G56" i="2"/>
  <c r="H56" i="2"/>
  <c r="I56" i="2"/>
  <c r="J56" i="2"/>
  <c r="K56" i="2"/>
  <c r="L56" i="2"/>
  <c r="M56" i="2"/>
  <c r="N56" i="2"/>
  <c r="O56" i="2"/>
  <c r="Q56" i="2"/>
  <c r="R56" i="2"/>
  <c r="S56" i="2"/>
  <c r="E57" i="2"/>
  <c r="F57" i="2"/>
  <c r="G57" i="2"/>
  <c r="H57" i="2"/>
  <c r="I57" i="2"/>
  <c r="J57" i="2"/>
  <c r="K57" i="2"/>
  <c r="L57" i="2"/>
  <c r="M57" i="2"/>
  <c r="N57" i="2"/>
  <c r="O57" i="2"/>
  <c r="Q57" i="2"/>
  <c r="R57" i="2"/>
  <c r="S57" i="2"/>
  <c r="E58" i="2"/>
  <c r="F58" i="2"/>
  <c r="G58" i="2"/>
  <c r="H58" i="2"/>
  <c r="I58" i="2"/>
  <c r="J58" i="2"/>
  <c r="K58" i="2"/>
  <c r="L58" i="2"/>
  <c r="M58" i="2"/>
  <c r="N58" i="2"/>
  <c r="O58" i="2"/>
  <c r="Q58" i="2"/>
  <c r="R58" i="2"/>
  <c r="S58" i="2"/>
  <c r="E59" i="2"/>
  <c r="F59" i="2"/>
  <c r="G59" i="2"/>
  <c r="H59" i="2"/>
  <c r="I59" i="2"/>
  <c r="J59" i="2"/>
  <c r="K59" i="2"/>
  <c r="L59" i="2"/>
  <c r="M59" i="2"/>
  <c r="N59" i="2"/>
  <c r="O59" i="2"/>
  <c r="Q59" i="2"/>
  <c r="R59" i="2"/>
  <c r="S59" i="2"/>
  <c r="E60" i="2"/>
  <c r="F60" i="2"/>
  <c r="G60" i="2"/>
  <c r="H60" i="2"/>
  <c r="I60" i="2"/>
  <c r="J60" i="2"/>
  <c r="K60" i="2"/>
  <c r="L60" i="2"/>
  <c r="M60" i="2"/>
  <c r="N60" i="2"/>
  <c r="O60" i="2"/>
  <c r="Q60" i="2"/>
  <c r="R60" i="2"/>
  <c r="S60" i="2"/>
  <c r="E61" i="2"/>
  <c r="F61" i="2"/>
  <c r="G61" i="2"/>
  <c r="H61" i="2"/>
  <c r="I61" i="2"/>
  <c r="J61" i="2"/>
  <c r="K61" i="2"/>
  <c r="L61" i="2"/>
  <c r="M61" i="2"/>
  <c r="N61" i="2"/>
  <c r="O61" i="2"/>
  <c r="Q61" i="2"/>
  <c r="R61" i="2"/>
  <c r="S61" i="2"/>
  <c r="E62" i="2"/>
  <c r="F62" i="2"/>
  <c r="G62" i="2"/>
  <c r="H62" i="2"/>
  <c r="I62" i="2"/>
  <c r="J62" i="2"/>
  <c r="K62" i="2"/>
  <c r="L62" i="2"/>
  <c r="M62" i="2"/>
  <c r="N62" i="2"/>
  <c r="O62" i="2"/>
  <c r="Q62" i="2"/>
  <c r="R62" i="2"/>
  <c r="S62" i="2"/>
  <c r="E63" i="2"/>
  <c r="F63" i="2"/>
  <c r="G63" i="2"/>
  <c r="H63" i="2"/>
  <c r="I63" i="2"/>
  <c r="J63" i="2"/>
  <c r="K63" i="2"/>
  <c r="L63" i="2"/>
  <c r="M63" i="2"/>
  <c r="N63" i="2"/>
  <c r="O63" i="2"/>
  <c r="Q63" i="2"/>
  <c r="R63" i="2"/>
  <c r="S63" i="2"/>
  <c r="E64" i="2"/>
  <c r="F64" i="2"/>
  <c r="G64" i="2"/>
  <c r="H64" i="2"/>
  <c r="I64" i="2"/>
  <c r="J64" i="2"/>
  <c r="K64" i="2"/>
  <c r="L64" i="2"/>
  <c r="M64" i="2"/>
  <c r="N64" i="2"/>
  <c r="O64" i="2"/>
  <c r="Q64" i="2"/>
  <c r="R64" i="2"/>
  <c r="S64" i="2"/>
  <c r="E65" i="2"/>
  <c r="F65" i="2"/>
  <c r="G65" i="2"/>
  <c r="H65" i="2"/>
  <c r="I65" i="2"/>
  <c r="J65" i="2"/>
  <c r="K65" i="2"/>
  <c r="L65" i="2"/>
  <c r="M65" i="2"/>
  <c r="N65" i="2"/>
  <c r="O65" i="2"/>
  <c r="Q65" i="2"/>
  <c r="R65" i="2"/>
  <c r="S65" i="2"/>
  <c r="E66" i="2"/>
  <c r="F66" i="2"/>
  <c r="G66" i="2"/>
  <c r="H66" i="2"/>
  <c r="I66" i="2"/>
  <c r="J66" i="2"/>
  <c r="K66" i="2"/>
  <c r="L66" i="2"/>
  <c r="M66" i="2"/>
  <c r="N66" i="2"/>
  <c r="O66" i="2"/>
  <c r="Q66" i="2"/>
  <c r="R66" i="2"/>
  <c r="S66" i="2"/>
  <c r="E67" i="2"/>
  <c r="F67" i="2"/>
  <c r="G67" i="2"/>
  <c r="H67" i="2"/>
  <c r="I67" i="2"/>
  <c r="J67" i="2"/>
  <c r="K67" i="2"/>
  <c r="L67" i="2"/>
  <c r="M67" i="2"/>
  <c r="N67" i="2"/>
  <c r="O67" i="2"/>
  <c r="Q67" i="2"/>
  <c r="R67" i="2"/>
  <c r="S67" i="2"/>
  <c r="E68" i="2"/>
  <c r="F68" i="2"/>
  <c r="G68" i="2"/>
  <c r="H68" i="2"/>
  <c r="I68" i="2"/>
  <c r="J68" i="2"/>
  <c r="K68" i="2"/>
  <c r="L68" i="2"/>
  <c r="M68" i="2"/>
  <c r="N68" i="2"/>
  <c r="O68" i="2"/>
  <c r="Q68" i="2"/>
  <c r="R68" i="2"/>
  <c r="S68" i="2"/>
  <c r="E69" i="2"/>
  <c r="F69" i="2"/>
  <c r="G69" i="2"/>
  <c r="H69" i="2"/>
  <c r="I69" i="2"/>
  <c r="J69" i="2"/>
  <c r="K69" i="2"/>
  <c r="L69" i="2"/>
  <c r="M69" i="2"/>
  <c r="N69" i="2"/>
  <c r="O69" i="2"/>
  <c r="Q69" i="2"/>
  <c r="R69" i="2"/>
  <c r="S69" i="2"/>
  <c r="E70" i="2"/>
  <c r="F70" i="2"/>
  <c r="G70" i="2"/>
  <c r="H70" i="2"/>
  <c r="I70" i="2"/>
  <c r="J70" i="2"/>
  <c r="K70" i="2"/>
  <c r="L70" i="2"/>
  <c r="M70" i="2"/>
  <c r="N70" i="2"/>
  <c r="O70" i="2"/>
  <c r="Q70" i="2"/>
  <c r="R70" i="2"/>
  <c r="S70" i="2"/>
  <c r="E71" i="2"/>
  <c r="F71" i="2"/>
  <c r="G71" i="2"/>
  <c r="H71" i="2"/>
  <c r="I71" i="2"/>
  <c r="J71" i="2"/>
  <c r="K71" i="2"/>
  <c r="L71" i="2"/>
  <c r="M71" i="2"/>
  <c r="N71" i="2"/>
  <c r="O71" i="2"/>
  <c r="Q71" i="2"/>
  <c r="R71" i="2"/>
  <c r="S71" i="2"/>
  <c r="E72" i="2"/>
  <c r="F72" i="2"/>
  <c r="G72" i="2"/>
  <c r="H72" i="2"/>
  <c r="I72" i="2"/>
  <c r="J72" i="2"/>
  <c r="K72" i="2"/>
  <c r="L72" i="2"/>
  <c r="M72" i="2"/>
  <c r="N72" i="2"/>
  <c r="O72" i="2"/>
  <c r="Q72" i="2"/>
  <c r="R72" i="2"/>
  <c r="S72" i="2"/>
  <c r="E73" i="2"/>
  <c r="F73" i="2"/>
  <c r="G73" i="2"/>
  <c r="H73" i="2"/>
  <c r="I73" i="2"/>
  <c r="J73" i="2"/>
  <c r="K73" i="2"/>
  <c r="L73" i="2"/>
  <c r="M73" i="2"/>
  <c r="N73" i="2"/>
  <c r="O73" i="2"/>
  <c r="Q73" i="2"/>
  <c r="R73" i="2"/>
  <c r="S73" i="2"/>
  <c r="E74" i="2"/>
  <c r="F74" i="2"/>
  <c r="G74" i="2"/>
  <c r="H74" i="2"/>
  <c r="I74" i="2"/>
  <c r="J74" i="2"/>
  <c r="K74" i="2"/>
  <c r="L74" i="2"/>
  <c r="M74" i="2"/>
  <c r="N74" i="2"/>
  <c r="O74" i="2"/>
  <c r="Q74" i="2"/>
  <c r="R74" i="2"/>
  <c r="S74" i="2"/>
  <c r="E75" i="2"/>
  <c r="F75" i="2"/>
  <c r="G75" i="2"/>
  <c r="H75" i="2"/>
  <c r="I75" i="2"/>
  <c r="J75" i="2"/>
  <c r="K75" i="2"/>
  <c r="L75" i="2"/>
  <c r="M75" i="2"/>
  <c r="N75" i="2"/>
  <c r="O75" i="2"/>
  <c r="Q75" i="2"/>
  <c r="R75" i="2"/>
  <c r="S75" i="2"/>
  <c r="E76" i="2"/>
  <c r="F76" i="2"/>
  <c r="G76" i="2"/>
  <c r="H76" i="2"/>
  <c r="I76" i="2"/>
  <c r="J76" i="2"/>
  <c r="K76" i="2"/>
  <c r="L76" i="2"/>
  <c r="M76" i="2"/>
  <c r="N76" i="2"/>
  <c r="O76" i="2"/>
  <c r="Q76" i="2"/>
  <c r="R76" i="2"/>
  <c r="S76" i="2"/>
  <c r="E77" i="2"/>
  <c r="F77" i="2"/>
  <c r="G77" i="2"/>
  <c r="H77" i="2"/>
  <c r="I77" i="2"/>
  <c r="J77" i="2"/>
  <c r="K77" i="2"/>
  <c r="L77" i="2"/>
  <c r="M77" i="2"/>
  <c r="N77" i="2"/>
  <c r="O77" i="2"/>
  <c r="Q77" i="2"/>
  <c r="R77" i="2"/>
  <c r="S77" i="2"/>
  <c r="E78" i="2"/>
  <c r="F78" i="2"/>
  <c r="G78" i="2"/>
  <c r="H78" i="2"/>
  <c r="I78" i="2"/>
  <c r="J78" i="2"/>
  <c r="K78" i="2"/>
  <c r="L78" i="2"/>
  <c r="M78" i="2"/>
  <c r="N78" i="2"/>
  <c r="O78" i="2"/>
  <c r="Q78" i="2"/>
  <c r="R78" i="2"/>
  <c r="S78" i="2"/>
  <c r="E79" i="2"/>
  <c r="F79" i="2"/>
  <c r="G79" i="2"/>
  <c r="H79" i="2"/>
  <c r="I79" i="2"/>
  <c r="J79" i="2"/>
  <c r="K79" i="2"/>
  <c r="L79" i="2"/>
  <c r="M79" i="2"/>
  <c r="N79" i="2"/>
  <c r="O79" i="2"/>
  <c r="Q79" i="2"/>
  <c r="R79" i="2"/>
  <c r="S79" i="2"/>
  <c r="E80" i="2"/>
  <c r="F80" i="2"/>
  <c r="G80" i="2"/>
  <c r="H80" i="2"/>
  <c r="I80" i="2"/>
  <c r="J80" i="2"/>
  <c r="K80" i="2"/>
  <c r="L80" i="2"/>
  <c r="M80" i="2"/>
  <c r="N80" i="2"/>
  <c r="O80" i="2"/>
  <c r="Q80" i="2"/>
  <c r="R80" i="2"/>
  <c r="S80" i="2"/>
  <c r="E81" i="2"/>
  <c r="F81" i="2"/>
  <c r="G81" i="2"/>
  <c r="H81" i="2"/>
  <c r="I81" i="2"/>
  <c r="J81" i="2"/>
  <c r="K81" i="2"/>
  <c r="L81" i="2"/>
  <c r="M81" i="2"/>
  <c r="N81" i="2"/>
  <c r="O81" i="2"/>
  <c r="Q81" i="2"/>
  <c r="R81" i="2"/>
  <c r="S81" i="2"/>
  <c r="E82" i="2"/>
  <c r="F82" i="2"/>
  <c r="G82" i="2"/>
  <c r="H82" i="2"/>
  <c r="I82" i="2"/>
  <c r="J82" i="2"/>
  <c r="K82" i="2"/>
  <c r="L82" i="2"/>
  <c r="M82" i="2"/>
  <c r="N82" i="2"/>
  <c r="O82" i="2"/>
  <c r="Q82" i="2"/>
  <c r="R82" i="2"/>
  <c r="S82" i="2"/>
  <c r="E83" i="2"/>
  <c r="F83" i="2"/>
  <c r="G83" i="2"/>
  <c r="H83" i="2"/>
  <c r="I83" i="2"/>
  <c r="J83" i="2"/>
  <c r="K83" i="2"/>
  <c r="L83" i="2"/>
  <c r="M83" i="2"/>
  <c r="N83" i="2"/>
  <c r="O83" i="2"/>
  <c r="Q83" i="2"/>
  <c r="R83" i="2"/>
  <c r="S83" i="2"/>
  <c r="E84" i="2"/>
  <c r="F84" i="2"/>
  <c r="G84" i="2"/>
  <c r="H84" i="2"/>
  <c r="I84" i="2"/>
  <c r="J84" i="2"/>
  <c r="K84" i="2"/>
  <c r="L84" i="2"/>
  <c r="M84" i="2"/>
  <c r="N84" i="2"/>
  <c r="O84" i="2"/>
  <c r="Q84" i="2"/>
  <c r="R84" i="2"/>
  <c r="S84" i="2"/>
  <c r="E85" i="2"/>
  <c r="F85" i="2"/>
  <c r="G85" i="2"/>
  <c r="H85" i="2"/>
  <c r="I85" i="2"/>
  <c r="J85" i="2"/>
  <c r="K85" i="2"/>
  <c r="L85" i="2"/>
  <c r="M85" i="2"/>
  <c r="N85" i="2"/>
  <c r="O85" i="2"/>
  <c r="Q85" i="2"/>
  <c r="R85" i="2"/>
  <c r="S85" i="2"/>
  <c r="E86" i="2"/>
  <c r="F86" i="2"/>
  <c r="G86" i="2"/>
  <c r="H86" i="2"/>
  <c r="I86" i="2"/>
  <c r="J86" i="2"/>
  <c r="K86" i="2"/>
  <c r="L86" i="2"/>
  <c r="M86" i="2"/>
  <c r="N86" i="2"/>
  <c r="O86" i="2"/>
  <c r="Q86" i="2"/>
  <c r="R86" i="2"/>
  <c r="S86" i="2"/>
  <c r="E87" i="2"/>
  <c r="F87" i="2"/>
  <c r="G87" i="2"/>
  <c r="H87" i="2"/>
  <c r="I87" i="2"/>
  <c r="J87" i="2"/>
  <c r="K87" i="2"/>
  <c r="L87" i="2"/>
  <c r="M87" i="2"/>
  <c r="N87" i="2"/>
  <c r="O87" i="2"/>
  <c r="Q87" i="2"/>
  <c r="R87" i="2"/>
  <c r="S87" i="2"/>
  <c r="E88" i="2"/>
  <c r="F88" i="2"/>
  <c r="G88" i="2"/>
  <c r="H88" i="2"/>
  <c r="I88" i="2"/>
  <c r="J88" i="2"/>
  <c r="K88" i="2"/>
  <c r="L88" i="2"/>
  <c r="M88" i="2"/>
  <c r="N88" i="2"/>
  <c r="O88" i="2"/>
  <c r="Q88" i="2"/>
  <c r="R88" i="2"/>
  <c r="S88" i="2"/>
  <c r="E89" i="2"/>
  <c r="F89" i="2"/>
  <c r="G89" i="2"/>
  <c r="H89" i="2"/>
  <c r="I89" i="2"/>
  <c r="J89" i="2"/>
  <c r="K89" i="2"/>
  <c r="L89" i="2"/>
  <c r="M89" i="2"/>
  <c r="N89" i="2"/>
  <c r="O89" i="2"/>
  <c r="Q89" i="2"/>
  <c r="R89" i="2"/>
  <c r="S89" i="2"/>
  <c r="E90" i="2"/>
  <c r="F90" i="2"/>
  <c r="G90" i="2"/>
  <c r="H90" i="2"/>
  <c r="I90" i="2"/>
  <c r="J90" i="2"/>
  <c r="K90" i="2"/>
  <c r="L90" i="2"/>
  <c r="M90" i="2"/>
  <c r="N90" i="2"/>
  <c r="O90" i="2"/>
  <c r="Q90" i="2"/>
  <c r="R90" i="2"/>
  <c r="S90" i="2"/>
  <c r="E91" i="2"/>
  <c r="F91" i="2"/>
  <c r="G91" i="2"/>
  <c r="H91" i="2"/>
  <c r="I91" i="2"/>
  <c r="J91" i="2"/>
  <c r="K91" i="2"/>
  <c r="L91" i="2"/>
  <c r="M91" i="2"/>
  <c r="N91" i="2"/>
  <c r="O91" i="2"/>
  <c r="Q91" i="2"/>
  <c r="R91" i="2"/>
  <c r="S91" i="2"/>
  <c r="E92" i="2"/>
  <c r="F92" i="2"/>
  <c r="G92" i="2"/>
  <c r="H92" i="2"/>
  <c r="I92" i="2"/>
  <c r="J92" i="2"/>
  <c r="K92" i="2"/>
  <c r="L92" i="2"/>
  <c r="M92" i="2"/>
  <c r="N92" i="2"/>
  <c r="O92" i="2"/>
  <c r="Q92" i="2"/>
  <c r="R92" i="2"/>
  <c r="S92" i="2"/>
  <c r="E93" i="2"/>
  <c r="F93" i="2"/>
  <c r="G93" i="2"/>
  <c r="H93" i="2"/>
  <c r="I93" i="2"/>
  <c r="J93" i="2"/>
  <c r="K93" i="2"/>
  <c r="L93" i="2"/>
  <c r="M93" i="2"/>
  <c r="N93" i="2"/>
  <c r="O93" i="2"/>
  <c r="Q93" i="2"/>
  <c r="R93" i="2"/>
  <c r="S93" i="2"/>
  <c r="E94" i="2"/>
  <c r="F94" i="2"/>
  <c r="G94" i="2"/>
  <c r="H94" i="2"/>
  <c r="I94" i="2"/>
  <c r="J94" i="2"/>
  <c r="K94" i="2"/>
  <c r="L94" i="2"/>
  <c r="M94" i="2"/>
  <c r="N94" i="2"/>
  <c r="O94" i="2"/>
  <c r="Q94" i="2"/>
  <c r="R94" i="2"/>
  <c r="S94" i="2"/>
  <c r="E95" i="2"/>
  <c r="F95" i="2"/>
  <c r="G95" i="2"/>
  <c r="H95" i="2"/>
  <c r="I95" i="2"/>
  <c r="J95" i="2"/>
  <c r="K95" i="2"/>
  <c r="L95" i="2"/>
  <c r="M95" i="2"/>
  <c r="N95" i="2"/>
  <c r="O95" i="2"/>
  <c r="Q95" i="2"/>
  <c r="R95" i="2"/>
  <c r="S95" i="2"/>
  <c r="E96" i="2"/>
  <c r="F96" i="2"/>
  <c r="G96" i="2"/>
  <c r="H96" i="2"/>
  <c r="I96" i="2"/>
  <c r="J96" i="2"/>
  <c r="K96" i="2"/>
  <c r="L96" i="2"/>
  <c r="M96" i="2"/>
  <c r="N96" i="2"/>
  <c r="O96" i="2"/>
  <c r="Q96" i="2"/>
  <c r="R96" i="2"/>
  <c r="S96" i="2"/>
  <c r="E97" i="2"/>
  <c r="F97" i="2"/>
  <c r="G97" i="2"/>
  <c r="H97" i="2"/>
  <c r="I97" i="2"/>
  <c r="J97" i="2"/>
  <c r="K97" i="2"/>
  <c r="L97" i="2"/>
  <c r="M97" i="2"/>
  <c r="N97" i="2"/>
  <c r="O97" i="2"/>
  <c r="Q97" i="2"/>
  <c r="R97" i="2"/>
  <c r="S97" i="2"/>
  <c r="E98" i="2"/>
  <c r="F98" i="2"/>
  <c r="G98" i="2"/>
  <c r="H98" i="2"/>
  <c r="I98" i="2"/>
  <c r="J98" i="2"/>
  <c r="K98" i="2"/>
  <c r="L98" i="2"/>
  <c r="M98" i="2"/>
  <c r="N98" i="2"/>
  <c r="O98" i="2"/>
  <c r="Q98" i="2"/>
  <c r="R98" i="2"/>
  <c r="S98" i="2"/>
  <c r="E99" i="2"/>
  <c r="F99" i="2"/>
  <c r="G99" i="2"/>
  <c r="H99" i="2"/>
  <c r="I99" i="2"/>
  <c r="J99" i="2"/>
  <c r="K99" i="2"/>
  <c r="L99" i="2"/>
  <c r="M99" i="2"/>
  <c r="N99" i="2"/>
  <c r="O99" i="2"/>
  <c r="Q99" i="2"/>
  <c r="R99" i="2"/>
  <c r="S99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R100" i="2"/>
  <c r="S100" i="2"/>
  <c r="E101" i="2"/>
  <c r="F101" i="2"/>
  <c r="G101" i="2"/>
  <c r="H101" i="2"/>
  <c r="I101" i="2"/>
  <c r="J101" i="2"/>
  <c r="K101" i="2"/>
  <c r="L101" i="2"/>
  <c r="M101" i="2"/>
  <c r="N101" i="2"/>
  <c r="O101" i="2"/>
  <c r="Q101" i="2"/>
  <c r="R101" i="2"/>
  <c r="S101" i="2"/>
  <c r="E102" i="2"/>
  <c r="F102" i="2"/>
  <c r="G102" i="2"/>
  <c r="H102" i="2"/>
  <c r="I102" i="2"/>
  <c r="J102" i="2"/>
  <c r="K102" i="2"/>
  <c r="L102" i="2"/>
  <c r="M102" i="2"/>
  <c r="N102" i="2"/>
  <c r="O102" i="2"/>
  <c r="Q102" i="2"/>
  <c r="R102" i="2"/>
  <c r="S102" i="2"/>
  <c r="E103" i="2"/>
  <c r="F103" i="2"/>
  <c r="G103" i="2"/>
  <c r="H103" i="2"/>
  <c r="I103" i="2"/>
  <c r="J103" i="2"/>
  <c r="K103" i="2"/>
  <c r="L103" i="2"/>
  <c r="M103" i="2"/>
  <c r="N103" i="2"/>
  <c r="O103" i="2"/>
  <c r="Q103" i="2"/>
  <c r="R103" i="2"/>
  <c r="S103" i="2"/>
  <c r="E104" i="2"/>
  <c r="F104" i="2"/>
  <c r="G104" i="2"/>
  <c r="H104" i="2"/>
  <c r="I104" i="2"/>
  <c r="J104" i="2"/>
  <c r="K104" i="2"/>
  <c r="L104" i="2"/>
  <c r="M104" i="2"/>
  <c r="N104" i="2"/>
  <c r="O104" i="2"/>
  <c r="Q104" i="2"/>
  <c r="R104" i="2"/>
  <c r="S104" i="2"/>
  <c r="E105" i="2"/>
  <c r="F105" i="2"/>
  <c r="G105" i="2"/>
  <c r="H105" i="2"/>
  <c r="I105" i="2"/>
  <c r="J105" i="2"/>
  <c r="K105" i="2"/>
  <c r="L105" i="2"/>
  <c r="M105" i="2"/>
  <c r="N105" i="2"/>
  <c r="O105" i="2"/>
  <c r="Q105" i="2"/>
  <c r="R105" i="2"/>
  <c r="S105" i="2"/>
  <c r="E106" i="2"/>
  <c r="F106" i="2"/>
  <c r="G106" i="2"/>
  <c r="H106" i="2"/>
  <c r="I106" i="2"/>
  <c r="J106" i="2"/>
  <c r="K106" i="2"/>
  <c r="L106" i="2"/>
  <c r="M106" i="2"/>
  <c r="N106" i="2"/>
  <c r="O106" i="2"/>
  <c r="Q106" i="2"/>
  <c r="R106" i="2"/>
  <c r="S106" i="2"/>
  <c r="E107" i="2"/>
  <c r="F107" i="2"/>
  <c r="G107" i="2"/>
  <c r="H107" i="2"/>
  <c r="I107" i="2"/>
  <c r="J107" i="2"/>
  <c r="K107" i="2"/>
  <c r="L107" i="2"/>
  <c r="M107" i="2"/>
  <c r="N107" i="2"/>
  <c r="O107" i="2"/>
  <c r="Q107" i="2"/>
  <c r="R107" i="2"/>
  <c r="S107" i="2"/>
  <c r="E108" i="2"/>
  <c r="F108" i="2"/>
  <c r="G108" i="2"/>
  <c r="H108" i="2"/>
  <c r="I108" i="2"/>
  <c r="J108" i="2"/>
  <c r="K108" i="2"/>
  <c r="L108" i="2"/>
  <c r="M108" i="2"/>
  <c r="N108" i="2"/>
  <c r="O108" i="2"/>
  <c r="Q108" i="2"/>
  <c r="R108" i="2"/>
  <c r="S108" i="2"/>
  <c r="E109" i="2"/>
  <c r="F109" i="2"/>
  <c r="G109" i="2"/>
  <c r="H109" i="2"/>
  <c r="I109" i="2"/>
  <c r="J109" i="2"/>
  <c r="K109" i="2"/>
  <c r="L109" i="2"/>
  <c r="M109" i="2"/>
  <c r="N109" i="2"/>
  <c r="O109" i="2"/>
  <c r="Q109" i="2"/>
  <c r="R109" i="2"/>
  <c r="S109" i="2"/>
  <c r="E110" i="2"/>
  <c r="F110" i="2"/>
  <c r="G110" i="2"/>
  <c r="H110" i="2"/>
  <c r="I110" i="2"/>
  <c r="J110" i="2"/>
  <c r="K110" i="2"/>
  <c r="L110" i="2"/>
  <c r="M110" i="2"/>
  <c r="N110" i="2"/>
  <c r="O110" i="2"/>
  <c r="Q110" i="2"/>
  <c r="R110" i="2"/>
  <c r="S110" i="2"/>
  <c r="E111" i="2"/>
  <c r="F111" i="2"/>
  <c r="G111" i="2"/>
  <c r="H111" i="2"/>
  <c r="I111" i="2"/>
  <c r="J111" i="2"/>
  <c r="K111" i="2"/>
  <c r="L111" i="2"/>
  <c r="M111" i="2"/>
  <c r="N111" i="2"/>
  <c r="O111" i="2"/>
  <c r="Q111" i="2"/>
  <c r="R111" i="2"/>
  <c r="S111" i="2"/>
  <c r="E112" i="2"/>
  <c r="F112" i="2"/>
  <c r="G112" i="2"/>
  <c r="H112" i="2"/>
  <c r="I112" i="2"/>
  <c r="J112" i="2"/>
  <c r="K112" i="2"/>
  <c r="L112" i="2"/>
  <c r="M112" i="2"/>
  <c r="N112" i="2"/>
  <c r="O112" i="2"/>
  <c r="Q112" i="2"/>
  <c r="R112" i="2"/>
  <c r="S112" i="2"/>
  <c r="E113" i="2"/>
  <c r="F113" i="2"/>
  <c r="G113" i="2"/>
  <c r="H113" i="2"/>
  <c r="I113" i="2"/>
  <c r="J113" i="2"/>
  <c r="K113" i="2"/>
  <c r="L113" i="2"/>
  <c r="M113" i="2"/>
  <c r="N113" i="2"/>
  <c r="O113" i="2"/>
  <c r="Q113" i="2"/>
  <c r="R113" i="2"/>
  <c r="S113" i="2"/>
  <c r="E114" i="2"/>
  <c r="F114" i="2"/>
  <c r="G114" i="2"/>
  <c r="H114" i="2"/>
  <c r="I114" i="2"/>
  <c r="J114" i="2"/>
  <c r="K114" i="2"/>
  <c r="L114" i="2"/>
  <c r="M114" i="2"/>
  <c r="N114" i="2"/>
  <c r="O114" i="2"/>
  <c r="Q114" i="2"/>
  <c r="R114" i="2"/>
  <c r="S114" i="2"/>
  <c r="E115" i="2"/>
  <c r="F115" i="2"/>
  <c r="G115" i="2"/>
  <c r="H115" i="2"/>
  <c r="I115" i="2"/>
  <c r="J115" i="2"/>
  <c r="K115" i="2"/>
  <c r="L115" i="2"/>
  <c r="M115" i="2"/>
  <c r="N115" i="2"/>
  <c r="O115" i="2"/>
  <c r="Q115" i="2"/>
  <c r="R115" i="2"/>
  <c r="S115" i="2"/>
  <c r="E116" i="2"/>
  <c r="F116" i="2"/>
  <c r="G116" i="2"/>
  <c r="H116" i="2"/>
  <c r="I116" i="2"/>
  <c r="J116" i="2"/>
  <c r="K116" i="2"/>
  <c r="L116" i="2"/>
  <c r="M116" i="2"/>
  <c r="N116" i="2"/>
  <c r="O116" i="2"/>
  <c r="Q116" i="2"/>
  <c r="R116" i="2"/>
  <c r="S116" i="2"/>
  <c r="E117" i="2"/>
  <c r="F117" i="2"/>
  <c r="G117" i="2"/>
  <c r="H117" i="2"/>
  <c r="I117" i="2"/>
  <c r="J117" i="2"/>
  <c r="K117" i="2"/>
  <c r="L117" i="2"/>
  <c r="M117" i="2"/>
  <c r="N117" i="2"/>
  <c r="O117" i="2"/>
  <c r="Q117" i="2"/>
  <c r="R117" i="2"/>
  <c r="S117" i="2"/>
  <c r="E118" i="2"/>
  <c r="F118" i="2"/>
  <c r="G118" i="2"/>
  <c r="H118" i="2"/>
  <c r="I118" i="2"/>
  <c r="J118" i="2"/>
  <c r="K118" i="2"/>
  <c r="L118" i="2"/>
  <c r="M118" i="2"/>
  <c r="N118" i="2"/>
  <c r="O118" i="2"/>
  <c r="Q118" i="2"/>
  <c r="R118" i="2"/>
  <c r="S118" i="2"/>
  <c r="E119" i="2"/>
  <c r="F119" i="2"/>
  <c r="G119" i="2"/>
  <c r="H119" i="2"/>
  <c r="I119" i="2"/>
  <c r="J119" i="2"/>
  <c r="K119" i="2"/>
  <c r="L119" i="2"/>
  <c r="M119" i="2"/>
  <c r="N119" i="2"/>
  <c r="O119" i="2"/>
  <c r="Q119" i="2"/>
  <c r="R119" i="2"/>
  <c r="S119" i="2"/>
  <c r="E120" i="2"/>
  <c r="F120" i="2"/>
  <c r="G120" i="2"/>
  <c r="H120" i="2"/>
  <c r="I120" i="2"/>
  <c r="J120" i="2"/>
  <c r="K120" i="2"/>
  <c r="L120" i="2"/>
  <c r="M120" i="2"/>
  <c r="N120" i="2"/>
  <c r="O120" i="2"/>
  <c r="Q120" i="2"/>
  <c r="R120" i="2"/>
  <c r="S120" i="2"/>
  <c r="E121" i="2"/>
  <c r="F121" i="2"/>
  <c r="G121" i="2"/>
  <c r="H121" i="2"/>
  <c r="I121" i="2"/>
  <c r="J121" i="2"/>
  <c r="K121" i="2"/>
  <c r="L121" i="2"/>
  <c r="M121" i="2"/>
  <c r="N121" i="2"/>
  <c r="O121" i="2"/>
  <c r="Q121" i="2"/>
  <c r="R121" i="2"/>
  <c r="S121" i="2"/>
  <c r="E122" i="2"/>
  <c r="F122" i="2"/>
  <c r="G122" i="2"/>
  <c r="H122" i="2"/>
  <c r="I122" i="2"/>
  <c r="J122" i="2"/>
  <c r="K122" i="2"/>
  <c r="L122" i="2"/>
  <c r="M122" i="2"/>
  <c r="N122" i="2"/>
  <c r="O122" i="2"/>
  <c r="Q122" i="2"/>
  <c r="R122" i="2"/>
  <c r="S122" i="2"/>
  <c r="E123" i="2"/>
  <c r="F123" i="2"/>
  <c r="G123" i="2"/>
  <c r="H123" i="2"/>
  <c r="I123" i="2"/>
  <c r="J123" i="2"/>
  <c r="K123" i="2"/>
  <c r="L123" i="2"/>
  <c r="M123" i="2"/>
  <c r="N123" i="2"/>
  <c r="O123" i="2"/>
  <c r="Q123" i="2"/>
  <c r="R123" i="2"/>
  <c r="S123" i="2"/>
  <c r="E124" i="2"/>
  <c r="F124" i="2"/>
  <c r="G124" i="2"/>
  <c r="H124" i="2"/>
  <c r="I124" i="2"/>
  <c r="J124" i="2"/>
  <c r="K124" i="2"/>
  <c r="L124" i="2"/>
  <c r="M124" i="2"/>
  <c r="N124" i="2"/>
  <c r="O124" i="2"/>
  <c r="Q124" i="2"/>
  <c r="R124" i="2"/>
  <c r="S124" i="2"/>
  <c r="E125" i="2"/>
  <c r="F125" i="2"/>
  <c r="G125" i="2"/>
  <c r="H125" i="2"/>
  <c r="I125" i="2"/>
  <c r="J125" i="2"/>
  <c r="K125" i="2"/>
  <c r="L125" i="2"/>
  <c r="M125" i="2"/>
  <c r="N125" i="2"/>
  <c r="O125" i="2"/>
  <c r="Q125" i="2"/>
  <c r="R125" i="2"/>
  <c r="S125" i="2"/>
  <c r="E126" i="2"/>
  <c r="F126" i="2"/>
  <c r="G126" i="2"/>
  <c r="H126" i="2"/>
  <c r="I126" i="2"/>
  <c r="J126" i="2"/>
  <c r="K126" i="2"/>
  <c r="L126" i="2"/>
  <c r="M126" i="2"/>
  <c r="N126" i="2"/>
  <c r="O126" i="2"/>
  <c r="Q126" i="2"/>
  <c r="R126" i="2"/>
  <c r="S126" i="2"/>
  <c r="E127" i="2"/>
  <c r="F127" i="2"/>
  <c r="G127" i="2"/>
  <c r="H127" i="2"/>
  <c r="I127" i="2"/>
  <c r="J127" i="2"/>
  <c r="K127" i="2"/>
  <c r="L127" i="2"/>
  <c r="M127" i="2"/>
  <c r="N127" i="2"/>
  <c r="O127" i="2"/>
  <c r="Q127" i="2"/>
  <c r="R127" i="2"/>
  <c r="S127" i="2"/>
  <c r="E128" i="2"/>
  <c r="F128" i="2"/>
  <c r="G128" i="2"/>
  <c r="H128" i="2"/>
  <c r="I128" i="2"/>
  <c r="J128" i="2"/>
  <c r="K128" i="2"/>
  <c r="L128" i="2"/>
  <c r="M128" i="2"/>
  <c r="N128" i="2"/>
  <c r="O128" i="2"/>
  <c r="Q128" i="2"/>
  <c r="R128" i="2"/>
  <c r="S128" i="2"/>
  <c r="E129" i="2"/>
  <c r="F129" i="2"/>
  <c r="G129" i="2"/>
  <c r="H129" i="2"/>
  <c r="I129" i="2"/>
  <c r="J129" i="2"/>
  <c r="K129" i="2"/>
  <c r="L129" i="2"/>
  <c r="M129" i="2"/>
  <c r="N129" i="2"/>
  <c r="O129" i="2"/>
  <c r="Q129" i="2"/>
  <c r="R129" i="2"/>
  <c r="S129" i="2"/>
  <c r="E130" i="2"/>
  <c r="F130" i="2"/>
  <c r="G130" i="2"/>
  <c r="H130" i="2"/>
  <c r="I130" i="2"/>
  <c r="J130" i="2"/>
  <c r="K130" i="2"/>
  <c r="L130" i="2"/>
  <c r="M130" i="2"/>
  <c r="N130" i="2"/>
  <c r="O130" i="2"/>
  <c r="Q130" i="2"/>
  <c r="R130" i="2"/>
  <c r="S130" i="2"/>
  <c r="E131" i="2"/>
  <c r="F131" i="2"/>
  <c r="G131" i="2"/>
  <c r="H131" i="2"/>
  <c r="I131" i="2"/>
  <c r="J131" i="2"/>
  <c r="K131" i="2"/>
  <c r="L131" i="2"/>
  <c r="M131" i="2"/>
  <c r="N131" i="2"/>
  <c r="O131" i="2"/>
  <c r="Q131" i="2"/>
  <c r="R131" i="2"/>
  <c r="S131" i="2"/>
  <c r="E132" i="2"/>
  <c r="F132" i="2"/>
  <c r="G132" i="2"/>
  <c r="H132" i="2"/>
  <c r="I132" i="2"/>
  <c r="J132" i="2"/>
  <c r="K132" i="2"/>
  <c r="L132" i="2"/>
  <c r="M132" i="2"/>
  <c r="N132" i="2"/>
  <c r="O132" i="2"/>
  <c r="Q132" i="2"/>
  <c r="R132" i="2"/>
  <c r="S132" i="2"/>
  <c r="E133" i="2"/>
  <c r="F133" i="2"/>
  <c r="G133" i="2"/>
  <c r="H133" i="2"/>
  <c r="I133" i="2"/>
  <c r="J133" i="2"/>
  <c r="K133" i="2"/>
  <c r="L133" i="2"/>
  <c r="M133" i="2"/>
  <c r="N133" i="2"/>
  <c r="O133" i="2"/>
  <c r="Q133" i="2"/>
  <c r="R133" i="2"/>
  <c r="S133" i="2"/>
  <c r="E134" i="2"/>
  <c r="F134" i="2"/>
  <c r="G134" i="2"/>
  <c r="H134" i="2"/>
  <c r="I134" i="2"/>
  <c r="J134" i="2"/>
  <c r="K134" i="2"/>
  <c r="L134" i="2"/>
  <c r="M134" i="2"/>
  <c r="N134" i="2"/>
  <c r="O134" i="2"/>
  <c r="Q134" i="2"/>
  <c r="R134" i="2"/>
  <c r="S134" i="2"/>
  <c r="E135" i="2"/>
  <c r="F135" i="2"/>
  <c r="G135" i="2"/>
  <c r="H135" i="2"/>
  <c r="I135" i="2"/>
  <c r="J135" i="2"/>
  <c r="K135" i="2"/>
  <c r="L135" i="2"/>
  <c r="M135" i="2"/>
  <c r="N135" i="2"/>
  <c r="O135" i="2"/>
  <c r="Q135" i="2"/>
  <c r="R135" i="2"/>
  <c r="S135" i="2"/>
  <c r="E136" i="2"/>
  <c r="F136" i="2"/>
  <c r="G136" i="2"/>
  <c r="H136" i="2"/>
  <c r="I136" i="2"/>
  <c r="J136" i="2"/>
  <c r="K136" i="2"/>
  <c r="L136" i="2"/>
  <c r="M136" i="2"/>
  <c r="N136" i="2"/>
  <c r="O136" i="2"/>
  <c r="Q136" i="2"/>
  <c r="R136" i="2"/>
  <c r="S136" i="2"/>
  <c r="E137" i="2"/>
  <c r="F137" i="2"/>
  <c r="G137" i="2"/>
  <c r="H137" i="2"/>
  <c r="I137" i="2"/>
  <c r="J137" i="2"/>
  <c r="K137" i="2"/>
  <c r="L137" i="2"/>
  <c r="M137" i="2"/>
  <c r="N137" i="2"/>
  <c r="O137" i="2"/>
  <c r="Q137" i="2"/>
  <c r="R137" i="2"/>
  <c r="S137" i="2"/>
  <c r="E138" i="2"/>
  <c r="F138" i="2"/>
  <c r="G138" i="2"/>
  <c r="H138" i="2"/>
  <c r="I138" i="2"/>
  <c r="J138" i="2"/>
  <c r="K138" i="2"/>
  <c r="L138" i="2"/>
  <c r="M138" i="2"/>
  <c r="N138" i="2"/>
  <c r="O138" i="2"/>
  <c r="Q138" i="2"/>
  <c r="R138" i="2"/>
  <c r="S138" i="2"/>
  <c r="E139" i="2"/>
  <c r="F139" i="2"/>
  <c r="G139" i="2"/>
  <c r="H139" i="2"/>
  <c r="I139" i="2"/>
  <c r="J139" i="2"/>
  <c r="K139" i="2"/>
  <c r="L139" i="2"/>
  <c r="M139" i="2"/>
  <c r="N139" i="2"/>
  <c r="O139" i="2"/>
  <c r="Q139" i="2"/>
  <c r="R139" i="2"/>
  <c r="S139" i="2"/>
  <c r="E140" i="2"/>
  <c r="F140" i="2"/>
  <c r="G140" i="2"/>
  <c r="H140" i="2"/>
  <c r="I140" i="2"/>
  <c r="J140" i="2"/>
  <c r="K140" i="2"/>
  <c r="L140" i="2"/>
  <c r="M140" i="2"/>
  <c r="N140" i="2"/>
  <c r="O140" i="2"/>
  <c r="Q140" i="2"/>
  <c r="R140" i="2"/>
  <c r="S140" i="2"/>
  <c r="E141" i="2"/>
  <c r="F141" i="2"/>
  <c r="G141" i="2"/>
  <c r="H141" i="2"/>
  <c r="I141" i="2"/>
  <c r="J141" i="2"/>
  <c r="K141" i="2"/>
  <c r="L141" i="2"/>
  <c r="M141" i="2"/>
  <c r="N141" i="2"/>
  <c r="O141" i="2"/>
  <c r="Q141" i="2"/>
  <c r="R141" i="2"/>
  <c r="S141" i="2"/>
  <c r="E142" i="2"/>
  <c r="F142" i="2"/>
  <c r="G142" i="2"/>
  <c r="H142" i="2"/>
  <c r="I142" i="2"/>
  <c r="J142" i="2"/>
  <c r="K142" i="2"/>
  <c r="L142" i="2"/>
  <c r="M142" i="2"/>
  <c r="N142" i="2"/>
  <c r="O142" i="2"/>
  <c r="Q142" i="2"/>
  <c r="R142" i="2"/>
  <c r="S142" i="2"/>
  <c r="E143" i="2"/>
  <c r="F143" i="2"/>
  <c r="G143" i="2"/>
  <c r="H143" i="2"/>
  <c r="I143" i="2"/>
  <c r="J143" i="2"/>
  <c r="K143" i="2"/>
  <c r="L143" i="2"/>
  <c r="M143" i="2"/>
  <c r="N143" i="2"/>
  <c r="O143" i="2"/>
  <c r="Q143" i="2"/>
  <c r="R143" i="2"/>
  <c r="S143" i="2"/>
  <c r="E144" i="2"/>
  <c r="F144" i="2"/>
  <c r="G144" i="2"/>
  <c r="H144" i="2"/>
  <c r="I144" i="2"/>
  <c r="J144" i="2"/>
  <c r="K144" i="2"/>
  <c r="L144" i="2"/>
  <c r="M144" i="2"/>
  <c r="N144" i="2"/>
  <c r="O144" i="2"/>
  <c r="Q144" i="2"/>
  <c r="R144" i="2"/>
  <c r="S144" i="2"/>
  <c r="E145" i="2"/>
  <c r="F145" i="2"/>
  <c r="G145" i="2"/>
  <c r="H145" i="2"/>
  <c r="I145" i="2"/>
  <c r="J145" i="2"/>
  <c r="K145" i="2"/>
  <c r="L145" i="2"/>
  <c r="M145" i="2"/>
  <c r="N145" i="2"/>
  <c r="O145" i="2"/>
  <c r="Q145" i="2"/>
  <c r="R145" i="2"/>
  <c r="S145" i="2"/>
  <c r="E146" i="2"/>
  <c r="F146" i="2"/>
  <c r="G146" i="2"/>
  <c r="H146" i="2"/>
  <c r="I146" i="2"/>
  <c r="J146" i="2"/>
  <c r="K146" i="2"/>
  <c r="L146" i="2"/>
  <c r="M146" i="2"/>
  <c r="N146" i="2"/>
  <c r="O146" i="2"/>
  <c r="Q146" i="2"/>
  <c r="R146" i="2"/>
  <c r="S146" i="2"/>
  <c r="E147" i="2"/>
  <c r="F147" i="2"/>
  <c r="G147" i="2"/>
  <c r="H147" i="2"/>
  <c r="I147" i="2"/>
  <c r="J147" i="2"/>
  <c r="K147" i="2"/>
  <c r="L147" i="2"/>
  <c r="M147" i="2"/>
  <c r="N147" i="2"/>
  <c r="O147" i="2"/>
  <c r="Q147" i="2"/>
  <c r="R147" i="2"/>
  <c r="S147" i="2"/>
  <c r="E148" i="2"/>
  <c r="F148" i="2"/>
  <c r="G148" i="2"/>
  <c r="H148" i="2"/>
  <c r="I148" i="2"/>
  <c r="J148" i="2"/>
  <c r="K148" i="2"/>
  <c r="L148" i="2"/>
  <c r="M148" i="2"/>
  <c r="N148" i="2"/>
  <c r="O148" i="2"/>
  <c r="Q148" i="2"/>
  <c r="R148" i="2"/>
  <c r="S148" i="2"/>
  <c r="E149" i="2"/>
  <c r="F149" i="2"/>
  <c r="G149" i="2"/>
  <c r="H149" i="2"/>
  <c r="I149" i="2"/>
  <c r="J149" i="2"/>
  <c r="K149" i="2"/>
  <c r="L149" i="2"/>
  <c r="M149" i="2"/>
  <c r="N149" i="2"/>
  <c r="O149" i="2"/>
  <c r="Q149" i="2"/>
  <c r="R149" i="2"/>
  <c r="S149" i="2"/>
  <c r="E150" i="2"/>
  <c r="F150" i="2"/>
  <c r="G150" i="2"/>
  <c r="H150" i="2"/>
  <c r="I150" i="2"/>
  <c r="J150" i="2"/>
  <c r="K150" i="2"/>
  <c r="L150" i="2"/>
  <c r="M150" i="2"/>
  <c r="N150" i="2"/>
  <c r="O150" i="2"/>
  <c r="Q150" i="2"/>
  <c r="R150" i="2"/>
  <c r="S150" i="2"/>
  <c r="E151" i="2"/>
  <c r="F151" i="2"/>
  <c r="G151" i="2"/>
  <c r="H151" i="2"/>
  <c r="I151" i="2"/>
  <c r="J151" i="2"/>
  <c r="K151" i="2"/>
  <c r="L151" i="2"/>
  <c r="M151" i="2"/>
  <c r="N151" i="2"/>
  <c r="O151" i="2"/>
  <c r="Q151" i="2"/>
  <c r="R151" i="2"/>
  <c r="S151" i="2"/>
  <c r="E152" i="2"/>
  <c r="F152" i="2"/>
  <c r="G152" i="2"/>
  <c r="H152" i="2"/>
  <c r="I152" i="2"/>
  <c r="J152" i="2"/>
  <c r="K152" i="2"/>
  <c r="L152" i="2"/>
  <c r="M152" i="2"/>
  <c r="N152" i="2"/>
  <c r="O152" i="2"/>
  <c r="Q152" i="2"/>
  <c r="R152" i="2"/>
  <c r="S152" i="2"/>
  <c r="E153" i="2"/>
  <c r="F153" i="2"/>
  <c r="G153" i="2"/>
  <c r="H153" i="2"/>
  <c r="I153" i="2"/>
  <c r="J153" i="2"/>
  <c r="K153" i="2"/>
  <c r="L153" i="2"/>
  <c r="M153" i="2"/>
  <c r="N153" i="2"/>
  <c r="O153" i="2"/>
  <c r="Q153" i="2"/>
  <c r="R153" i="2"/>
  <c r="S153" i="2"/>
  <c r="E154" i="2"/>
  <c r="F154" i="2"/>
  <c r="G154" i="2"/>
  <c r="H154" i="2"/>
  <c r="I154" i="2"/>
  <c r="J154" i="2"/>
  <c r="K154" i="2"/>
  <c r="L154" i="2"/>
  <c r="M154" i="2"/>
  <c r="N154" i="2"/>
  <c r="O154" i="2"/>
  <c r="Q154" i="2"/>
  <c r="R154" i="2"/>
  <c r="S154" i="2"/>
  <c r="E155" i="2"/>
  <c r="F155" i="2"/>
  <c r="G155" i="2"/>
  <c r="H155" i="2"/>
  <c r="I155" i="2"/>
  <c r="J155" i="2"/>
  <c r="K155" i="2"/>
  <c r="L155" i="2"/>
  <c r="M155" i="2"/>
  <c r="N155" i="2"/>
  <c r="O155" i="2"/>
  <c r="Q155" i="2"/>
  <c r="R155" i="2"/>
  <c r="S155" i="2"/>
  <c r="E156" i="2"/>
  <c r="F156" i="2"/>
  <c r="G156" i="2"/>
  <c r="H156" i="2"/>
  <c r="I156" i="2"/>
  <c r="J156" i="2"/>
  <c r="K156" i="2"/>
  <c r="L156" i="2"/>
  <c r="M156" i="2"/>
  <c r="N156" i="2"/>
  <c r="O156" i="2"/>
  <c r="Q156" i="2"/>
  <c r="R156" i="2"/>
  <c r="S156" i="2"/>
  <c r="E157" i="2"/>
  <c r="F157" i="2"/>
  <c r="G157" i="2"/>
  <c r="H157" i="2"/>
  <c r="I157" i="2"/>
  <c r="J157" i="2"/>
  <c r="K157" i="2"/>
  <c r="L157" i="2"/>
  <c r="M157" i="2"/>
  <c r="N157" i="2"/>
  <c r="O157" i="2"/>
  <c r="Q157" i="2"/>
  <c r="R157" i="2"/>
  <c r="S157" i="2"/>
  <c r="E158" i="2"/>
  <c r="F158" i="2"/>
  <c r="G158" i="2"/>
  <c r="H158" i="2"/>
  <c r="I158" i="2"/>
  <c r="J158" i="2"/>
  <c r="K158" i="2"/>
  <c r="L158" i="2"/>
  <c r="M158" i="2"/>
  <c r="N158" i="2"/>
  <c r="O158" i="2"/>
  <c r="Q158" i="2"/>
  <c r="R158" i="2"/>
  <c r="S158" i="2"/>
  <c r="E159" i="2"/>
  <c r="F159" i="2"/>
  <c r="G159" i="2"/>
  <c r="H159" i="2"/>
  <c r="I159" i="2"/>
  <c r="J159" i="2"/>
  <c r="K159" i="2"/>
  <c r="L159" i="2"/>
  <c r="M159" i="2"/>
  <c r="N159" i="2"/>
  <c r="O159" i="2"/>
  <c r="Q159" i="2"/>
  <c r="R159" i="2"/>
  <c r="S159" i="2"/>
  <c r="E160" i="2"/>
  <c r="F160" i="2"/>
  <c r="G160" i="2"/>
  <c r="H160" i="2"/>
  <c r="I160" i="2"/>
  <c r="J160" i="2"/>
  <c r="K160" i="2"/>
  <c r="L160" i="2"/>
  <c r="M160" i="2"/>
  <c r="N160" i="2"/>
  <c r="O160" i="2"/>
  <c r="Q160" i="2"/>
  <c r="R160" i="2"/>
  <c r="S160" i="2"/>
  <c r="E161" i="2"/>
  <c r="F161" i="2"/>
  <c r="G161" i="2"/>
  <c r="H161" i="2"/>
  <c r="I161" i="2"/>
  <c r="J161" i="2"/>
  <c r="K161" i="2"/>
  <c r="L161" i="2"/>
  <c r="M161" i="2"/>
  <c r="N161" i="2"/>
  <c r="O161" i="2"/>
  <c r="Q161" i="2"/>
  <c r="R161" i="2"/>
  <c r="S161" i="2"/>
  <c r="E162" i="2"/>
  <c r="F162" i="2"/>
  <c r="G162" i="2"/>
  <c r="H162" i="2"/>
  <c r="I162" i="2"/>
  <c r="J162" i="2"/>
  <c r="K162" i="2"/>
  <c r="L162" i="2"/>
  <c r="M162" i="2"/>
  <c r="N162" i="2"/>
  <c r="O162" i="2"/>
  <c r="Q162" i="2"/>
  <c r="R162" i="2"/>
  <c r="S162" i="2"/>
  <c r="E163" i="2"/>
  <c r="F163" i="2"/>
  <c r="G163" i="2"/>
  <c r="H163" i="2"/>
  <c r="I163" i="2"/>
  <c r="J163" i="2"/>
  <c r="K163" i="2"/>
  <c r="L163" i="2"/>
  <c r="M163" i="2"/>
  <c r="N163" i="2"/>
  <c r="O163" i="2"/>
  <c r="Q163" i="2"/>
  <c r="R163" i="2"/>
  <c r="S163" i="2"/>
  <c r="E164" i="2"/>
  <c r="F164" i="2"/>
  <c r="G164" i="2"/>
  <c r="H164" i="2"/>
  <c r="I164" i="2"/>
  <c r="J164" i="2"/>
  <c r="K164" i="2"/>
  <c r="L164" i="2"/>
  <c r="M164" i="2"/>
  <c r="N164" i="2"/>
  <c r="O164" i="2"/>
  <c r="Q164" i="2"/>
  <c r="R164" i="2"/>
  <c r="S164" i="2"/>
  <c r="E165" i="2"/>
  <c r="F165" i="2"/>
  <c r="G165" i="2"/>
  <c r="H165" i="2"/>
  <c r="I165" i="2"/>
  <c r="J165" i="2"/>
  <c r="K165" i="2"/>
  <c r="L165" i="2"/>
  <c r="M165" i="2"/>
  <c r="N165" i="2"/>
  <c r="O165" i="2"/>
  <c r="Q165" i="2"/>
  <c r="R165" i="2"/>
  <c r="S165" i="2"/>
  <c r="E166" i="2"/>
  <c r="F166" i="2"/>
  <c r="G166" i="2"/>
  <c r="H166" i="2"/>
  <c r="I166" i="2"/>
  <c r="J166" i="2"/>
  <c r="K166" i="2"/>
  <c r="L166" i="2"/>
  <c r="M166" i="2"/>
  <c r="N166" i="2"/>
  <c r="O166" i="2"/>
  <c r="Q166" i="2"/>
  <c r="R166" i="2"/>
  <c r="S166" i="2"/>
  <c r="E167" i="2"/>
  <c r="F167" i="2"/>
  <c r="G167" i="2"/>
  <c r="H167" i="2"/>
  <c r="I167" i="2"/>
  <c r="J167" i="2"/>
  <c r="K167" i="2"/>
  <c r="L167" i="2"/>
  <c r="M167" i="2"/>
  <c r="N167" i="2"/>
  <c r="O167" i="2"/>
  <c r="Q167" i="2"/>
  <c r="R167" i="2"/>
  <c r="S167" i="2"/>
  <c r="E168" i="2"/>
  <c r="F168" i="2"/>
  <c r="G168" i="2"/>
  <c r="H168" i="2"/>
  <c r="I168" i="2"/>
  <c r="J168" i="2"/>
  <c r="K168" i="2"/>
  <c r="L168" i="2"/>
  <c r="M168" i="2"/>
  <c r="N168" i="2"/>
  <c r="O168" i="2"/>
  <c r="Q168" i="2"/>
  <c r="R168" i="2"/>
  <c r="S168" i="2"/>
  <c r="E169" i="2"/>
  <c r="F169" i="2"/>
  <c r="G169" i="2"/>
  <c r="H169" i="2"/>
  <c r="I169" i="2"/>
  <c r="J169" i="2"/>
  <c r="K169" i="2"/>
  <c r="L169" i="2"/>
  <c r="M169" i="2"/>
  <c r="N169" i="2"/>
  <c r="O169" i="2"/>
  <c r="Q169" i="2"/>
  <c r="R169" i="2"/>
  <c r="S169" i="2"/>
  <c r="E170" i="2"/>
  <c r="F170" i="2"/>
  <c r="G170" i="2"/>
  <c r="H170" i="2"/>
  <c r="I170" i="2"/>
  <c r="J170" i="2"/>
  <c r="K170" i="2"/>
  <c r="L170" i="2"/>
  <c r="M170" i="2"/>
  <c r="N170" i="2"/>
  <c r="O170" i="2"/>
  <c r="Q170" i="2"/>
  <c r="R170" i="2"/>
  <c r="S170" i="2"/>
  <c r="E171" i="2"/>
  <c r="F171" i="2"/>
  <c r="G171" i="2"/>
  <c r="H171" i="2"/>
  <c r="I171" i="2"/>
  <c r="J171" i="2"/>
  <c r="K171" i="2"/>
  <c r="L171" i="2"/>
  <c r="M171" i="2"/>
  <c r="N171" i="2"/>
  <c r="O171" i="2"/>
  <c r="Q171" i="2"/>
  <c r="R171" i="2"/>
  <c r="S171" i="2"/>
  <c r="E172" i="2"/>
  <c r="F172" i="2"/>
  <c r="G172" i="2"/>
  <c r="H172" i="2"/>
  <c r="I172" i="2"/>
  <c r="J172" i="2"/>
  <c r="K172" i="2"/>
  <c r="L172" i="2"/>
  <c r="M172" i="2"/>
  <c r="N172" i="2"/>
  <c r="O172" i="2"/>
  <c r="Q172" i="2"/>
  <c r="R172" i="2"/>
  <c r="S172" i="2"/>
  <c r="E173" i="2"/>
  <c r="F173" i="2"/>
  <c r="G173" i="2"/>
  <c r="H173" i="2"/>
  <c r="I173" i="2"/>
  <c r="J173" i="2"/>
  <c r="K173" i="2"/>
  <c r="L173" i="2"/>
  <c r="M173" i="2"/>
  <c r="N173" i="2"/>
  <c r="O173" i="2"/>
  <c r="Q173" i="2"/>
  <c r="R173" i="2"/>
  <c r="S173" i="2"/>
  <c r="E174" i="2"/>
  <c r="F174" i="2"/>
  <c r="G174" i="2"/>
  <c r="H174" i="2"/>
  <c r="I174" i="2"/>
  <c r="J174" i="2"/>
  <c r="K174" i="2"/>
  <c r="L174" i="2"/>
  <c r="M174" i="2"/>
  <c r="N174" i="2"/>
  <c r="O174" i="2"/>
  <c r="Q174" i="2"/>
  <c r="R174" i="2"/>
  <c r="S174" i="2"/>
  <c r="E175" i="2"/>
  <c r="F175" i="2"/>
  <c r="G175" i="2"/>
  <c r="H175" i="2"/>
  <c r="I175" i="2"/>
  <c r="J175" i="2"/>
  <c r="K175" i="2"/>
  <c r="L175" i="2"/>
  <c r="M175" i="2"/>
  <c r="N175" i="2"/>
  <c r="O175" i="2"/>
  <c r="Q175" i="2"/>
  <c r="R175" i="2"/>
  <c r="S175" i="2"/>
  <c r="E176" i="2"/>
  <c r="F176" i="2"/>
  <c r="G176" i="2"/>
  <c r="H176" i="2"/>
  <c r="I176" i="2"/>
  <c r="J176" i="2"/>
  <c r="K176" i="2"/>
  <c r="L176" i="2"/>
  <c r="M176" i="2"/>
  <c r="N176" i="2"/>
  <c r="O176" i="2"/>
  <c r="Q176" i="2"/>
  <c r="R176" i="2"/>
  <c r="S176" i="2"/>
  <c r="E177" i="2"/>
  <c r="F177" i="2"/>
  <c r="G177" i="2"/>
  <c r="H177" i="2"/>
  <c r="I177" i="2"/>
  <c r="J177" i="2"/>
  <c r="K177" i="2"/>
  <c r="L177" i="2"/>
  <c r="M177" i="2"/>
  <c r="N177" i="2"/>
  <c r="O177" i="2"/>
  <c r="Q177" i="2"/>
  <c r="R177" i="2"/>
  <c r="S177" i="2"/>
  <c r="E178" i="2"/>
  <c r="F178" i="2"/>
  <c r="G178" i="2"/>
  <c r="H178" i="2"/>
  <c r="I178" i="2"/>
  <c r="J178" i="2"/>
  <c r="K178" i="2"/>
  <c r="L178" i="2"/>
  <c r="M178" i="2"/>
  <c r="N178" i="2"/>
  <c r="O178" i="2"/>
  <c r="Q178" i="2"/>
  <c r="R178" i="2"/>
  <c r="S178" i="2"/>
  <c r="E179" i="2"/>
  <c r="F179" i="2"/>
  <c r="G179" i="2"/>
  <c r="H179" i="2"/>
  <c r="I179" i="2"/>
  <c r="J179" i="2"/>
  <c r="K179" i="2"/>
  <c r="L179" i="2"/>
  <c r="M179" i="2"/>
  <c r="N179" i="2"/>
  <c r="O179" i="2"/>
  <c r="Q179" i="2"/>
  <c r="R179" i="2"/>
  <c r="S179" i="2"/>
  <c r="E180" i="2"/>
  <c r="F180" i="2"/>
  <c r="G180" i="2"/>
  <c r="H180" i="2"/>
  <c r="I180" i="2"/>
  <c r="J180" i="2"/>
  <c r="K180" i="2"/>
  <c r="L180" i="2"/>
  <c r="M180" i="2"/>
  <c r="N180" i="2"/>
  <c r="O180" i="2"/>
  <c r="Q180" i="2"/>
  <c r="R180" i="2"/>
  <c r="S180" i="2"/>
  <c r="E181" i="2"/>
  <c r="F181" i="2"/>
  <c r="G181" i="2"/>
  <c r="H181" i="2"/>
  <c r="I181" i="2"/>
  <c r="J181" i="2"/>
  <c r="K181" i="2"/>
  <c r="L181" i="2"/>
  <c r="M181" i="2"/>
  <c r="N181" i="2"/>
  <c r="O181" i="2"/>
  <c r="Q181" i="2"/>
  <c r="R181" i="2"/>
  <c r="S181" i="2"/>
  <c r="E182" i="2"/>
  <c r="F182" i="2"/>
  <c r="G182" i="2"/>
  <c r="H182" i="2"/>
  <c r="I182" i="2"/>
  <c r="J182" i="2"/>
  <c r="K182" i="2"/>
  <c r="L182" i="2"/>
  <c r="M182" i="2"/>
  <c r="N182" i="2"/>
  <c r="O182" i="2"/>
  <c r="Q182" i="2"/>
  <c r="R182" i="2"/>
  <c r="S182" i="2"/>
  <c r="E183" i="2"/>
  <c r="F183" i="2"/>
  <c r="G183" i="2"/>
  <c r="H183" i="2"/>
  <c r="I183" i="2"/>
  <c r="J183" i="2"/>
  <c r="K183" i="2"/>
  <c r="L183" i="2"/>
  <c r="M183" i="2"/>
  <c r="N183" i="2"/>
  <c r="O183" i="2"/>
  <c r="Q183" i="2"/>
  <c r="R183" i="2"/>
  <c r="S183" i="2"/>
  <c r="E184" i="2"/>
  <c r="F184" i="2"/>
  <c r="G184" i="2"/>
  <c r="H184" i="2"/>
  <c r="I184" i="2"/>
  <c r="J184" i="2"/>
  <c r="K184" i="2"/>
  <c r="L184" i="2"/>
  <c r="M184" i="2"/>
  <c r="N184" i="2"/>
  <c r="O184" i="2"/>
  <c r="Q184" i="2"/>
  <c r="R184" i="2"/>
  <c r="S184" i="2"/>
  <c r="E185" i="2"/>
  <c r="F185" i="2"/>
  <c r="G185" i="2"/>
  <c r="H185" i="2"/>
  <c r="I185" i="2"/>
  <c r="J185" i="2"/>
  <c r="K185" i="2"/>
  <c r="L185" i="2"/>
  <c r="M185" i="2"/>
  <c r="N185" i="2"/>
  <c r="O185" i="2"/>
  <c r="Q185" i="2"/>
  <c r="R185" i="2"/>
  <c r="S185" i="2"/>
  <c r="E186" i="2"/>
  <c r="F186" i="2"/>
  <c r="G186" i="2"/>
  <c r="H186" i="2"/>
  <c r="I186" i="2"/>
  <c r="J186" i="2"/>
  <c r="K186" i="2"/>
  <c r="L186" i="2"/>
  <c r="M186" i="2"/>
  <c r="N186" i="2"/>
  <c r="O186" i="2"/>
  <c r="Q186" i="2"/>
  <c r="R186" i="2"/>
  <c r="S186" i="2"/>
  <c r="E187" i="2"/>
  <c r="F187" i="2"/>
  <c r="G187" i="2"/>
  <c r="H187" i="2"/>
  <c r="I187" i="2"/>
  <c r="J187" i="2"/>
  <c r="K187" i="2"/>
  <c r="L187" i="2"/>
  <c r="M187" i="2"/>
  <c r="N187" i="2"/>
  <c r="O187" i="2"/>
  <c r="Q187" i="2"/>
  <c r="R187" i="2"/>
  <c r="S187" i="2"/>
  <c r="E188" i="2"/>
  <c r="F188" i="2"/>
  <c r="G188" i="2"/>
  <c r="H188" i="2"/>
  <c r="I188" i="2"/>
  <c r="J188" i="2"/>
  <c r="K188" i="2"/>
  <c r="L188" i="2"/>
  <c r="M188" i="2"/>
  <c r="N188" i="2"/>
  <c r="O188" i="2"/>
  <c r="Q188" i="2"/>
  <c r="R188" i="2"/>
  <c r="S188" i="2"/>
  <c r="E189" i="2"/>
  <c r="F189" i="2"/>
  <c r="G189" i="2"/>
  <c r="H189" i="2"/>
  <c r="I189" i="2"/>
  <c r="J189" i="2"/>
  <c r="K189" i="2"/>
  <c r="L189" i="2"/>
  <c r="M189" i="2"/>
  <c r="N189" i="2"/>
  <c r="O189" i="2"/>
  <c r="Q189" i="2"/>
  <c r="R189" i="2"/>
  <c r="S189" i="2"/>
  <c r="E190" i="2"/>
  <c r="F190" i="2"/>
  <c r="G190" i="2"/>
  <c r="H190" i="2"/>
  <c r="I190" i="2"/>
  <c r="J190" i="2"/>
  <c r="K190" i="2"/>
  <c r="L190" i="2"/>
  <c r="M190" i="2"/>
  <c r="N190" i="2"/>
  <c r="O190" i="2"/>
  <c r="Q190" i="2"/>
  <c r="R190" i="2"/>
  <c r="S190" i="2"/>
  <c r="E191" i="2"/>
  <c r="F191" i="2"/>
  <c r="G191" i="2"/>
  <c r="H191" i="2"/>
  <c r="I191" i="2"/>
  <c r="J191" i="2"/>
  <c r="K191" i="2"/>
  <c r="L191" i="2"/>
  <c r="M191" i="2"/>
  <c r="N191" i="2"/>
  <c r="O191" i="2"/>
  <c r="Q191" i="2"/>
  <c r="R191" i="2"/>
  <c r="S191" i="2"/>
  <c r="E192" i="2"/>
  <c r="F192" i="2"/>
  <c r="G192" i="2"/>
  <c r="H192" i="2"/>
  <c r="I192" i="2"/>
  <c r="J192" i="2"/>
  <c r="K192" i="2"/>
  <c r="L192" i="2"/>
  <c r="M192" i="2"/>
  <c r="N192" i="2"/>
  <c r="O192" i="2"/>
  <c r="Q192" i="2"/>
  <c r="R192" i="2"/>
  <c r="S192" i="2"/>
  <c r="E193" i="2"/>
  <c r="F193" i="2"/>
  <c r="G193" i="2"/>
  <c r="H193" i="2"/>
  <c r="I193" i="2"/>
  <c r="J193" i="2"/>
  <c r="K193" i="2"/>
  <c r="L193" i="2"/>
  <c r="M193" i="2"/>
  <c r="N193" i="2"/>
  <c r="O193" i="2"/>
  <c r="Q193" i="2"/>
  <c r="R193" i="2"/>
  <c r="S193" i="2"/>
  <c r="E194" i="2"/>
  <c r="F194" i="2"/>
  <c r="G194" i="2"/>
  <c r="H194" i="2"/>
  <c r="I194" i="2"/>
  <c r="J194" i="2"/>
  <c r="K194" i="2"/>
  <c r="L194" i="2"/>
  <c r="M194" i="2"/>
  <c r="N194" i="2"/>
  <c r="O194" i="2"/>
  <c r="Q194" i="2"/>
  <c r="R194" i="2"/>
  <c r="S194" i="2"/>
  <c r="E195" i="2"/>
  <c r="F195" i="2"/>
  <c r="G195" i="2"/>
  <c r="H195" i="2"/>
  <c r="I195" i="2"/>
  <c r="J195" i="2"/>
  <c r="K195" i="2"/>
  <c r="L195" i="2"/>
  <c r="M195" i="2"/>
  <c r="N195" i="2"/>
  <c r="O195" i="2"/>
  <c r="Q195" i="2"/>
  <c r="R195" i="2"/>
  <c r="S195" i="2"/>
  <c r="E196" i="2"/>
  <c r="F196" i="2"/>
  <c r="G196" i="2"/>
  <c r="H196" i="2"/>
  <c r="I196" i="2"/>
  <c r="J196" i="2"/>
  <c r="K196" i="2"/>
  <c r="L196" i="2"/>
  <c r="M196" i="2"/>
  <c r="N196" i="2"/>
  <c r="O196" i="2"/>
  <c r="Q196" i="2"/>
  <c r="R196" i="2"/>
  <c r="S196" i="2"/>
  <c r="E197" i="2"/>
  <c r="F197" i="2"/>
  <c r="G197" i="2"/>
  <c r="H197" i="2"/>
  <c r="I197" i="2"/>
  <c r="J197" i="2"/>
  <c r="K197" i="2"/>
  <c r="L197" i="2"/>
  <c r="M197" i="2"/>
  <c r="N197" i="2"/>
  <c r="O197" i="2"/>
  <c r="Q197" i="2"/>
  <c r="R197" i="2"/>
  <c r="S197" i="2"/>
  <c r="E198" i="2"/>
  <c r="F198" i="2"/>
  <c r="G198" i="2"/>
  <c r="H198" i="2"/>
  <c r="I198" i="2"/>
  <c r="J198" i="2"/>
  <c r="K198" i="2"/>
  <c r="L198" i="2"/>
  <c r="M198" i="2"/>
  <c r="N198" i="2"/>
  <c r="O198" i="2"/>
  <c r="Q198" i="2"/>
  <c r="R198" i="2"/>
  <c r="S198" i="2"/>
  <c r="E199" i="2"/>
  <c r="F199" i="2"/>
  <c r="G199" i="2"/>
  <c r="H199" i="2"/>
  <c r="I199" i="2"/>
  <c r="J199" i="2"/>
  <c r="K199" i="2"/>
  <c r="L199" i="2"/>
  <c r="M199" i="2"/>
  <c r="N199" i="2"/>
  <c r="O199" i="2"/>
  <c r="Q199" i="2"/>
  <c r="R199" i="2"/>
  <c r="S199" i="2"/>
  <c r="E200" i="2"/>
  <c r="F200" i="2"/>
  <c r="G200" i="2"/>
  <c r="H200" i="2"/>
  <c r="I200" i="2"/>
  <c r="J200" i="2"/>
  <c r="K200" i="2"/>
  <c r="L200" i="2"/>
  <c r="M200" i="2"/>
  <c r="N200" i="2"/>
  <c r="O200" i="2"/>
  <c r="Q200" i="2"/>
  <c r="R200" i="2"/>
  <c r="S200" i="2"/>
  <c r="E201" i="2"/>
  <c r="F201" i="2"/>
  <c r="G201" i="2"/>
  <c r="H201" i="2"/>
  <c r="I201" i="2"/>
  <c r="J201" i="2"/>
  <c r="K201" i="2"/>
  <c r="L201" i="2"/>
  <c r="M201" i="2"/>
  <c r="N201" i="2"/>
  <c r="O201" i="2"/>
  <c r="Q201" i="2"/>
  <c r="R201" i="2"/>
  <c r="S201" i="2"/>
  <c r="E202" i="2"/>
  <c r="F202" i="2"/>
  <c r="G202" i="2"/>
  <c r="H202" i="2"/>
  <c r="I202" i="2"/>
  <c r="J202" i="2"/>
  <c r="K202" i="2"/>
  <c r="L202" i="2"/>
  <c r="M202" i="2"/>
  <c r="N202" i="2"/>
  <c r="O202" i="2"/>
  <c r="Q202" i="2"/>
  <c r="R202" i="2"/>
  <c r="S202" i="2"/>
  <c r="E203" i="2"/>
  <c r="F203" i="2"/>
  <c r="G203" i="2"/>
  <c r="H203" i="2"/>
  <c r="I203" i="2"/>
  <c r="J203" i="2"/>
  <c r="K203" i="2"/>
  <c r="L203" i="2"/>
  <c r="M203" i="2"/>
  <c r="N203" i="2"/>
  <c r="O203" i="2"/>
  <c r="Q203" i="2"/>
  <c r="R203" i="2"/>
  <c r="S203" i="2"/>
  <c r="E204" i="2"/>
  <c r="F204" i="2"/>
  <c r="G204" i="2"/>
  <c r="H204" i="2"/>
  <c r="I204" i="2"/>
  <c r="J204" i="2"/>
  <c r="K204" i="2"/>
  <c r="L204" i="2"/>
  <c r="M204" i="2"/>
  <c r="N204" i="2"/>
  <c r="O204" i="2"/>
  <c r="Q204" i="2"/>
  <c r="R204" i="2"/>
  <c r="S204" i="2"/>
  <c r="E205" i="2"/>
  <c r="F205" i="2"/>
  <c r="G205" i="2"/>
  <c r="H205" i="2"/>
  <c r="I205" i="2"/>
  <c r="J205" i="2"/>
  <c r="K205" i="2"/>
  <c r="L205" i="2"/>
  <c r="M205" i="2"/>
  <c r="N205" i="2"/>
  <c r="O205" i="2"/>
  <c r="Q205" i="2"/>
  <c r="R205" i="2"/>
  <c r="S205" i="2"/>
  <c r="E206" i="2"/>
  <c r="F206" i="2"/>
  <c r="G206" i="2"/>
  <c r="H206" i="2"/>
  <c r="I206" i="2"/>
  <c r="J206" i="2"/>
  <c r="K206" i="2"/>
  <c r="L206" i="2"/>
  <c r="M206" i="2"/>
  <c r="N206" i="2"/>
  <c r="O206" i="2"/>
  <c r="Q206" i="2"/>
  <c r="R206" i="2"/>
  <c r="S206" i="2"/>
  <c r="E207" i="2"/>
  <c r="F207" i="2"/>
  <c r="G207" i="2"/>
  <c r="H207" i="2"/>
  <c r="I207" i="2"/>
  <c r="J207" i="2"/>
  <c r="K207" i="2"/>
  <c r="L207" i="2"/>
  <c r="M207" i="2"/>
  <c r="N207" i="2"/>
  <c r="O207" i="2"/>
  <c r="Q207" i="2"/>
  <c r="R207" i="2"/>
  <c r="S207" i="2"/>
  <c r="E208" i="2"/>
  <c r="F208" i="2"/>
  <c r="G208" i="2"/>
  <c r="H208" i="2"/>
  <c r="I208" i="2"/>
  <c r="J208" i="2"/>
  <c r="K208" i="2"/>
  <c r="L208" i="2"/>
  <c r="M208" i="2"/>
  <c r="N208" i="2"/>
  <c r="O208" i="2"/>
  <c r="Q208" i="2"/>
  <c r="R208" i="2"/>
  <c r="S208" i="2"/>
  <c r="E209" i="2"/>
  <c r="F209" i="2"/>
  <c r="G209" i="2"/>
  <c r="H209" i="2"/>
  <c r="I209" i="2"/>
  <c r="J209" i="2"/>
  <c r="K209" i="2"/>
  <c r="L209" i="2"/>
  <c r="M209" i="2"/>
  <c r="N209" i="2"/>
  <c r="O209" i="2"/>
  <c r="Q209" i="2"/>
  <c r="R209" i="2"/>
  <c r="S209" i="2"/>
  <c r="E210" i="2"/>
  <c r="F210" i="2"/>
  <c r="G210" i="2"/>
  <c r="H210" i="2"/>
  <c r="I210" i="2"/>
  <c r="J210" i="2"/>
  <c r="K210" i="2"/>
  <c r="L210" i="2"/>
  <c r="M210" i="2"/>
  <c r="N210" i="2"/>
  <c r="O210" i="2"/>
  <c r="Q210" i="2"/>
  <c r="R210" i="2"/>
  <c r="S210" i="2"/>
  <c r="E211" i="2"/>
  <c r="F211" i="2"/>
  <c r="G211" i="2"/>
  <c r="H211" i="2"/>
  <c r="I211" i="2"/>
  <c r="J211" i="2"/>
  <c r="K211" i="2"/>
  <c r="L211" i="2"/>
  <c r="M211" i="2"/>
  <c r="N211" i="2"/>
  <c r="O211" i="2"/>
  <c r="Q211" i="2"/>
  <c r="R211" i="2"/>
  <c r="S211" i="2"/>
  <c r="E212" i="2"/>
  <c r="F212" i="2"/>
  <c r="G212" i="2"/>
  <c r="H212" i="2"/>
  <c r="I212" i="2"/>
  <c r="J212" i="2"/>
  <c r="K212" i="2"/>
  <c r="L212" i="2"/>
  <c r="M212" i="2"/>
  <c r="N212" i="2"/>
  <c r="O212" i="2"/>
  <c r="Q212" i="2"/>
  <c r="R212" i="2"/>
  <c r="S212" i="2"/>
  <c r="E213" i="2"/>
  <c r="F213" i="2"/>
  <c r="G213" i="2"/>
  <c r="H213" i="2"/>
  <c r="I213" i="2"/>
  <c r="J213" i="2"/>
  <c r="K213" i="2"/>
  <c r="L213" i="2"/>
  <c r="M213" i="2"/>
  <c r="N213" i="2"/>
  <c r="O213" i="2"/>
  <c r="Q213" i="2"/>
  <c r="R213" i="2"/>
  <c r="S213" i="2"/>
  <c r="E214" i="2"/>
  <c r="F214" i="2"/>
  <c r="G214" i="2"/>
  <c r="H214" i="2"/>
  <c r="I214" i="2"/>
  <c r="J214" i="2"/>
  <c r="K214" i="2"/>
  <c r="L214" i="2"/>
  <c r="M214" i="2"/>
  <c r="N214" i="2"/>
  <c r="O214" i="2"/>
  <c r="Q214" i="2"/>
  <c r="R214" i="2"/>
  <c r="S214" i="2"/>
  <c r="E215" i="2"/>
  <c r="F215" i="2"/>
  <c r="G215" i="2"/>
  <c r="H215" i="2"/>
  <c r="I215" i="2"/>
  <c r="J215" i="2"/>
  <c r="K215" i="2"/>
  <c r="L215" i="2"/>
  <c r="M215" i="2"/>
  <c r="N215" i="2"/>
  <c r="O215" i="2"/>
  <c r="Q215" i="2"/>
  <c r="R215" i="2"/>
  <c r="S215" i="2"/>
  <c r="E216" i="2"/>
  <c r="F216" i="2"/>
  <c r="G216" i="2"/>
  <c r="H216" i="2"/>
  <c r="I216" i="2"/>
  <c r="J216" i="2"/>
  <c r="K216" i="2"/>
  <c r="L216" i="2"/>
  <c r="M216" i="2"/>
  <c r="N216" i="2"/>
  <c r="O216" i="2"/>
  <c r="Q216" i="2"/>
  <c r="R216" i="2"/>
  <c r="S216" i="2"/>
  <c r="E217" i="2"/>
  <c r="F217" i="2"/>
  <c r="G217" i="2"/>
  <c r="H217" i="2"/>
  <c r="I217" i="2"/>
  <c r="J217" i="2"/>
  <c r="K217" i="2"/>
  <c r="L217" i="2"/>
  <c r="M217" i="2"/>
  <c r="N217" i="2"/>
  <c r="O217" i="2"/>
  <c r="Q217" i="2"/>
  <c r="R217" i="2"/>
  <c r="S217" i="2"/>
  <c r="E218" i="2"/>
  <c r="F218" i="2"/>
  <c r="G218" i="2"/>
  <c r="H218" i="2"/>
  <c r="I218" i="2"/>
  <c r="J218" i="2"/>
  <c r="K218" i="2"/>
  <c r="L218" i="2"/>
  <c r="M218" i="2"/>
  <c r="N218" i="2"/>
  <c r="O218" i="2"/>
  <c r="Q218" i="2"/>
  <c r="R218" i="2"/>
  <c r="S218" i="2"/>
  <c r="E219" i="2"/>
  <c r="F219" i="2"/>
  <c r="G219" i="2"/>
  <c r="H219" i="2"/>
  <c r="I219" i="2"/>
  <c r="J219" i="2"/>
  <c r="K219" i="2"/>
  <c r="L219" i="2"/>
  <c r="M219" i="2"/>
  <c r="N219" i="2"/>
  <c r="O219" i="2"/>
  <c r="Q219" i="2"/>
  <c r="R219" i="2"/>
  <c r="S219" i="2"/>
  <c r="E220" i="2"/>
  <c r="F220" i="2"/>
  <c r="G220" i="2"/>
  <c r="H220" i="2"/>
  <c r="I220" i="2"/>
  <c r="J220" i="2"/>
  <c r="K220" i="2"/>
  <c r="L220" i="2"/>
  <c r="M220" i="2"/>
  <c r="N220" i="2"/>
  <c r="O220" i="2"/>
  <c r="Q220" i="2"/>
  <c r="R220" i="2"/>
  <c r="S220" i="2"/>
  <c r="E221" i="2"/>
  <c r="F221" i="2"/>
  <c r="G221" i="2"/>
  <c r="H221" i="2"/>
  <c r="I221" i="2"/>
  <c r="J221" i="2"/>
  <c r="K221" i="2"/>
  <c r="L221" i="2"/>
  <c r="M221" i="2"/>
  <c r="N221" i="2"/>
  <c r="O221" i="2"/>
  <c r="Q221" i="2"/>
  <c r="R221" i="2"/>
  <c r="S221" i="2"/>
  <c r="E222" i="2"/>
  <c r="F222" i="2"/>
  <c r="G222" i="2"/>
  <c r="H222" i="2"/>
  <c r="I222" i="2"/>
  <c r="J222" i="2"/>
  <c r="K222" i="2"/>
  <c r="L222" i="2"/>
  <c r="M222" i="2"/>
  <c r="N222" i="2"/>
  <c r="O222" i="2"/>
  <c r="Q222" i="2"/>
  <c r="R222" i="2"/>
  <c r="S222" i="2"/>
  <c r="E223" i="2"/>
  <c r="F223" i="2"/>
  <c r="G223" i="2"/>
  <c r="H223" i="2"/>
  <c r="I223" i="2"/>
  <c r="J223" i="2"/>
  <c r="K223" i="2"/>
  <c r="L223" i="2"/>
  <c r="M223" i="2"/>
  <c r="N223" i="2"/>
  <c r="O223" i="2"/>
  <c r="Q223" i="2"/>
  <c r="R223" i="2"/>
  <c r="S223" i="2"/>
  <c r="E224" i="2"/>
  <c r="F224" i="2"/>
  <c r="G224" i="2"/>
  <c r="H224" i="2"/>
  <c r="I224" i="2"/>
  <c r="J224" i="2"/>
  <c r="K224" i="2"/>
  <c r="L224" i="2"/>
  <c r="M224" i="2"/>
  <c r="N224" i="2"/>
  <c r="O224" i="2"/>
  <c r="Q224" i="2"/>
  <c r="R224" i="2"/>
  <c r="S224" i="2"/>
  <c r="E225" i="2"/>
  <c r="F225" i="2"/>
  <c r="G225" i="2"/>
  <c r="H225" i="2"/>
  <c r="I225" i="2"/>
  <c r="J225" i="2"/>
  <c r="K225" i="2"/>
  <c r="L225" i="2"/>
  <c r="M225" i="2"/>
  <c r="N225" i="2"/>
  <c r="O225" i="2"/>
  <c r="Q225" i="2"/>
  <c r="R225" i="2"/>
  <c r="S225" i="2"/>
  <c r="E226" i="2"/>
  <c r="F226" i="2"/>
  <c r="G226" i="2"/>
  <c r="H226" i="2"/>
  <c r="I226" i="2"/>
  <c r="J226" i="2"/>
  <c r="K226" i="2"/>
  <c r="L226" i="2"/>
  <c r="M226" i="2"/>
  <c r="N226" i="2"/>
  <c r="O226" i="2"/>
  <c r="Q226" i="2"/>
  <c r="R226" i="2"/>
  <c r="S226" i="2"/>
  <c r="E227" i="2"/>
  <c r="F227" i="2"/>
  <c r="G227" i="2"/>
  <c r="H227" i="2"/>
  <c r="I227" i="2"/>
  <c r="J227" i="2"/>
  <c r="K227" i="2"/>
  <c r="L227" i="2"/>
  <c r="M227" i="2"/>
  <c r="N227" i="2"/>
  <c r="O227" i="2"/>
  <c r="Q227" i="2"/>
  <c r="R227" i="2"/>
  <c r="S227" i="2"/>
  <c r="E228" i="2"/>
  <c r="F228" i="2"/>
  <c r="G228" i="2"/>
  <c r="H228" i="2"/>
  <c r="I228" i="2"/>
  <c r="J228" i="2"/>
  <c r="K228" i="2"/>
  <c r="L228" i="2"/>
  <c r="M228" i="2"/>
  <c r="N228" i="2"/>
  <c r="O228" i="2"/>
  <c r="Q228" i="2"/>
  <c r="R228" i="2"/>
  <c r="S228" i="2"/>
  <c r="E229" i="2"/>
  <c r="F229" i="2"/>
  <c r="G229" i="2"/>
  <c r="H229" i="2"/>
  <c r="I229" i="2"/>
  <c r="J229" i="2"/>
  <c r="K229" i="2"/>
  <c r="L229" i="2"/>
  <c r="M229" i="2"/>
  <c r="N229" i="2"/>
  <c r="O229" i="2"/>
  <c r="Q229" i="2"/>
  <c r="R229" i="2"/>
  <c r="S229" i="2"/>
  <c r="E230" i="2"/>
  <c r="F230" i="2"/>
  <c r="G230" i="2"/>
  <c r="H230" i="2"/>
  <c r="I230" i="2"/>
  <c r="J230" i="2"/>
  <c r="K230" i="2"/>
  <c r="L230" i="2"/>
  <c r="M230" i="2"/>
  <c r="N230" i="2"/>
  <c r="O230" i="2"/>
  <c r="Q230" i="2"/>
  <c r="R230" i="2"/>
  <c r="S230" i="2"/>
  <c r="E231" i="2"/>
  <c r="F231" i="2"/>
  <c r="G231" i="2"/>
  <c r="H231" i="2"/>
  <c r="I231" i="2"/>
  <c r="J231" i="2"/>
  <c r="K231" i="2"/>
  <c r="L231" i="2"/>
  <c r="M231" i="2"/>
  <c r="N231" i="2"/>
  <c r="O231" i="2"/>
  <c r="Q231" i="2"/>
  <c r="R231" i="2"/>
  <c r="S231" i="2"/>
  <c r="E232" i="2"/>
  <c r="F232" i="2"/>
  <c r="G232" i="2"/>
  <c r="H232" i="2"/>
  <c r="I232" i="2"/>
  <c r="J232" i="2"/>
  <c r="K232" i="2"/>
  <c r="L232" i="2"/>
  <c r="M232" i="2"/>
  <c r="N232" i="2"/>
  <c r="O232" i="2"/>
  <c r="Q232" i="2"/>
  <c r="R232" i="2"/>
  <c r="S232" i="2"/>
  <c r="E233" i="2"/>
  <c r="F233" i="2"/>
  <c r="G233" i="2"/>
  <c r="H233" i="2"/>
  <c r="I233" i="2"/>
  <c r="J233" i="2"/>
  <c r="K233" i="2"/>
  <c r="L233" i="2"/>
  <c r="M233" i="2"/>
  <c r="N233" i="2"/>
  <c r="O233" i="2"/>
  <c r="Q233" i="2"/>
  <c r="R233" i="2"/>
  <c r="S233" i="2"/>
  <c r="E234" i="2"/>
  <c r="F234" i="2"/>
  <c r="G234" i="2"/>
  <c r="H234" i="2"/>
  <c r="I234" i="2"/>
  <c r="J234" i="2"/>
  <c r="K234" i="2"/>
  <c r="L234" i="2"/>
  <c r="M234" i="2"/>
  <c r="N234" i="2"/>
  <c r="O234" i="2"/>
  <c r="Q234" i="2"/>
  <c r="R234" i="2"/>
  <c r="S234" i="2"/>
  <c r="E235" i="2"/>
  <c r="F235" i="2"/>
  <c r="G235" i="2"/>
  <c r="H235" i="2"/>
  <c r="I235" i="2"/>
  <c r="J235" i="2"/>
  <c r="K235" i="2"/>
  <c r="L235" i="2"/>
  <c r="M235" i="2"/>
  <c r="N235" i="2"/>
  <c r="O235" i="2"/>
  <c r="Q235" i="2"/>
  <c r="R235" i="2"/>
  <c r="S235" i="2"/>
  <c r="E236" i="2"/>
  <c r="F236" i="2"/>
  <c r="G236" i="2"/>
  <c r="H236" i="2"/>
  <c r="I236" i="2"/>
  <c r="J236" i="2"/>
  <c r="K236" i="2"/>
  <c r="L236" i="2"/>
  <c r="M236" i="2"/>
  <c r="N236" i="2"/>
  <c r="O236" i="2"/>
  <c r="Q236" i="2"/>
  <c r="R236" i="2"/>
  <c r="S236" i="2"/>
  <c r="E237" i="2"/>
  <c r="F237" i="2"/>
  <c r="G237" i="2"/>
  <c r="H237" i="2"/>
  <c r="I237" i="2"/>
  <c r="J237" i="2"/>
  <c r="K237" i="2"/>
  <c r="L237" i="2"/>
  <c r="M237" i="2"/>
  <c r="N237" i="2"/>
  <c r="O237" i="2"/>
  <c r="Q237" i="2"/>
  <c r="R237" i="2"/>
  <c r="S237" i="2"/>
  <c r="E238" i="2"/>
  <c r="F238" i="2"/>
  <c r="G238" i="2"/>
  <c r="H238" i="2"/>
  <c r="I238" i="2"/>
  <c r="J238" i="2"/>
  <c r="K238" i="2"/>
  <c r="L238" i="2"/>
  <c r="M238" i="2"/>
  <c r="N238" i="2"/>
  <c r="O238" i="2"/>
  <c r="Q238" i="2"/>
  <c r="R238" i="2"/>
  <c r="S238" i="2"/>
  <c r="E239" i="2"/>
  <c r="F239" i="2"/>
  <c r="G239" i="2"/>
  <c r="H239" i="2"/>
  <c r="I239" i="2"/>
  <c r="J239" i="2"/>
  <c r="K239" i="2"/>
  <c r="L239" i="2"/>
  <c r="M239" i="2"/>
  <c r="N239" i="2"/>
  <c r="O239" i="2"/>
  <c r="Q239" i="2"/>
  <c r="R239" i="2"/>
  <c r="S239" i="2"/>
  <c r="E240" i="2"/>
  <c r="F240" i="2"/>
  <c r="G240" i="2"/>
  <c r="H240" i="2"/>
  <c r="I240" i="2"/>
  <c r="J240" i="2"/>
  <c r="K240" i="2"/>
  <c r="L240" i="2"/>
  <c r="M240" i="2"/>
  <c r="N240" i="2"/>
  <c r="O240" i="2"/>
  <c r="Q240" i="2"/>
  <c r="R240" i="2"/>
  <c r="S240" i="2"/>
  <c r="E241" i="2"/>
  <c r="F241" i="2"/>
  <c r="G241" i="2"/>
  <c r="H241" i="2"/>
  <c r="I241" i="2"/>
  <c r="J241" i="2"/>
  <c r="K241" i="2"/>
  <c r="L241" i="2"/>
  <c r="M241" i="2"/>
  <c r="N241" i="2"/>
  <c r="O241" i="2"/>
  <c r="Q241" i="2"/>
  <c r="R241" i="2"/>
  <c r="S241" i="2"/>
  <c r="E242" i="2"/>
  <c r="F242" i="2"/>
  <c r="G242" i="2"/>
  <c r="H242" i="2"/>
  <c r="I242" i="2"/>
  <c r="J242" i="2"/>
  <c r="K242" i="2"/>
  <c r="L242" i="2"/>
  <c r="M242" i="2"/>
  <c r="N242" i="2"/>
  <c r="O242" i="2"/>
  <c r="Q242" i="2"/>
  <c r="R242" i="2"/>
  <c r="S242" i="2"/>
  <c r="E243" i="2"/>
  <c r="F243" i="2"/>
  <c r="G243" i="2"/>
  <c r="H243" i="2"/>
  <c r="I243" i="2"/>
  <c r="J243" i="2"/>
  <c r="K243" i="2"/>
  <c r="L243" i="2"/>
  <c r="M243" i="2"/>
  <c r="N243" i="2"/>
  <c r="O243" i="2"/>
  <c r="Q243" i="2"/>
  <c r="R243" i="2"/>
  <c r="S243" i="2"/>
  <c r="E244" i="2"/>
  <c r="F244" i="2"/>
  <c r="G244" i="2"/>
  <c r="H244" i="2"/>
  <c r="I244" i="2"/>
  <c r="J244" i="2"/>
  <c r="K244" i="2"/>
  <c r="L244" i="2"/>
  <c r="M244" i="2"/>
  <c r="N244" i="2"/>
  <c r="O244" i="2"/>
  <c r="Q244" i="2"/>
  <c r="R244" i="2"/>
  <c r="S244" i="2"/>
  <c r="E245" i="2"/>
  <c r="F245" i="2"/>
  <c r="G245" i="2"/>
  <c r="H245" i="2"/>
  <c r="I245" i="2"/>
  <c r="J245" i="2"/>
  <c r="K245" i="2"/>
  <c r="L245" i="2"/>
  <c r="M245" i="2"/>
  <c r="N245" i="2"/>
  <c r="O245" i="2"/>
  <c r="Q245" i="2"/>
  <c r="R245" i="2"/>
  <c r="S245" i="2"/>
  <c r="E246" i="2"/>
  <c r="F246" i="2"/>
  <c r="G246" i="2"/>
  <c r="H246" i="2"/>
  <c r="I246" i="2"/>
  <c r="J246" i="2"/>
  <c r="K246" i="2"/>
  <c r="L246" i="2"/>
  <c r="M246" i="2"/>
  <c r="N246" i="2"/>
  <c r="O246" i="2"/>
  <c r="Q246" i="2"/>
  <c r="R246" i="2"/>
  <c r="S246" i="2"/>
  <c r="E247" i="2"/>
  <c r="F247" i="2"/>
  <c r="G247" i="2"/>
  <c r="H247" i="2"/>
  <c r="I247" i="2"/>
  <c r="J247" i="2"/>
  <c r="K247" i="2"/>
  <c r="L247" i="2"/>
  <c r="M247" i="2"/>
  <c r="N247" i="2"/>
  <c r="O247" i="2"/>
  <c r="Q247" i="2"/>
  <c r="R247" i="2"/>
  <c r="S247" i="2"/>
  <c r="E248" i="2"/>
  <c r="F248" i="2"/>
  <c r="G248" i="2"/>
  <c r="H248" i="2"/>
  <c r="I248" i="2"/>
  <c r="J248" i="2"/>
  <c r="K248" i="2"/>
  <c r="L248" i="2"/>
  <c r="M248" i="2"/>
  <c r="N248" i="2"/>
  <c r="O248" i="2"/>
  <c r="Q248" i="2"/>
  <c r="R248" i="2"/>
  <c r="S248" i="2"/>
  <c r="E249" i="2"/>
  <c r="F249" i="2"/>
  <c r="G249" i="2"/>
  <c r="H249" i="2"/>
  <c r="I249" i="2"/>
  <c r="J249" i="2"/>
  <c r="K249" i="2"/>
  <c r="L249" i="2"/>
  <c r="M249" i="2"/>
  <c r="N249" i="2"/>
  <c r="O249" i="2"/>
  <c r="Q249" i="2"/>
  <c r="R249" i="2"/>
  <c r="S249" i="2"/>
  <c r="E250" i="2"/>
  <c r="F250" i="2"/>
  <c r="G250" i="2"/>
  <c r="H250" i="2"/>
  <c r="I250" i="2"/>
  <c r="J250" i="2"/>
  <c r="K250" i="2"/>
  <c r="L250" i="2"/>
  <c r="M250" i="2"/>
  <c r="N250" i="2"/>
  <c r="O250" i="2"/>
  <c r="Q250" i="2"/>
  <c r="R250" i="2"/>
  <c r="S250" i="2"/>
  <c r="E251" i="2"/>
  <c r="F251" i="2"/>
  <c r="G251" i="2"/>
  <c r="H251" i="2"/>
  <c r="I251" i="2"/>
  <c r="J251" i="2"/>
  <c r="K251" i="2"/>
  <c r="L251" i="2"/>
  <c r="M251" i="2"/>
  <c r="N251" i="2"/>
  <c r="O251" i="2"/>
  <c r="Q251" i="2"/>
  <c r="R251" i="2"/>
  <c r="S251" i="2"/>
  <c r="E252" i="2"/>
  <c r="F252" i="2"/>
  <c r="G252" i="2"/>
  <c r="H252" i="2"/>
  <c r="I252" i="2"/>
  <c r="J252" i="2"/>
  <c r="K252" i="2"/>
  <c r="L252" i="2"/>
  <c r="M252" i="2"/>
  <c r="N252" i="2"/>
  <c r="O252" i="2"/>
  <c r="Q252" i="2"/>
  <c r="R252" i="2"/>
  <c r="S252" i="2"/>
  <c r="E253" i="2"/>
  <c r="F253" i="2"/>
  <c r="G253" i="2"/>
  <c r="H253" i="2"/>
  <c r="I253" i="2"/>
  <c r="J253" i="2"/>
  <c r="K253" i="2"/>
  <c r="L253" i="2"/>
  <c r="M253" i="2"/>
  <c r="N253" i="2"/>
  <c r="O253" i="2"/>
  <c r="Q253" i="2"/>
  <c r="R253" i="2"/>
  <c r="S253" i="2"/>
  <c r="E254" i="2"/>
  <c r="F254" i="2"/>
  <c r="G254" i="2"/>
  <c r="H254" i="2"/>
  <c r="I254" i="2"/>
  <c r="J254" i="2"/>
  <c r="K254" i="2"/>
  <c r="L254" i="2"/>
  <c r="M254" i="2"/>
  <c r="N254" i="2"/>
  <c r="O254" i="2"/>
  <c r="Q254" i="2"/>
  <c r="R254" i="2"/>
  <c r="S254" i="2"/>
  <c r="E255" i="2"/>
  <c r="F255" i="2"/>
  <c r="G255" i="2"/>
  <c r="H255" i="2"/>
  <c r="I255" i="2"/>
  <c r="J255" i="2"/>
  <c r="K255" i="2"/>
  <c r="L255" i="2"/>
  <c r="M255" i="2"/>
  <c r="N255" i="2"/>
  <c r="O255" i="2"/>
  <c r="Q255" i="2"/>
  <c r="R255" i="2"/>
  <c r="S255" i="2"/>
  <c r="E256" i="2"/>
  <c r="F256" i="2"/>
  <c r="G256" i="2"/>
  <c r="H256" i="2"/>
  <c r="I256" i="2"/>
  <c r="J256" i="2"/>
  <c r="K256" i="2"/>
  <c r="L256" i="2"/>
  <c r="M256" i="2"/>
  <c r="N256" i="2"/>
  <c r="O256" i="2"/>
  <c r="Q256" i="2"/>
  <c r="R256" i="2"/>
  <c r="S256" i="2"/>
  <c r="E257" i="2"/>
  <c r="F257" i="2"/>
  <c r="G257" i="2"/>
  <c r="H257" i="2"/>
  <c r="I257" i="2"/>
  <c r="J257" i="2"/>
  <c r="K257" i="2"/>
  <c r="L257" i="2"/>
  <c r="M257" i="2"/>
  <c r="N257" i="2"/>
  <c r="O257" i="2"/>
  <c r="Q257" i="2"/>
  <c r="R257" i="2"/>
  <c r="S257" i="2"/>
  <c r="E258" i="2"/>
  <c r="F258" i="2"/>
  <c r="G258" i="2"/>
  <c r="H258" i="2"/>
  <c r="I258" i="2"/>
  <c r="J258" i="2"/>
  <c r="K258" i="2"/>
  <c r="L258" i="2"/>
  <c r="M258" i="2"/>
  <c r="N258" i="2"/>
  <c r="O258" i="2"/>
  <c r="Q258" i="2"/>
  <c r="R258" i="2"/>
  <c r="S258" i="2"/>
  <c r="E259" i="2"/>
  <c r="F259" i="2"/>
  <c r="G259" i="2"/>
  <c r="H259" i="2"/>
  <c r="I259" i="2"/>
  <c r="J259" i="2"/>
  <c r="K259" i="2"/>
  <c r="L259" i="2"/>
  <c r="M259" i="2"/>
  <c r="N259" i="2"/>
  <c r="O259" i="2"/>
  <c r="Q259" i="2"/>
  <c r="R259" i="2"/>
  <c r="S259" i="2"/>
  <c r="E260" i="2"/>
  <c r="F260" i="2"/>
  <c r="G260" i="2"/>
  <c r="H260" i="2"/>
  <c r="I260" i="2"/>
  <c r="J260" i="2"/>
  <c r="K260" i="2"/>
  <c r="L260" i="2"/>
  <c r="M260" i="2"/>
  <c r="N260" i="2"/>
  <c r="O260" i="2"/>
  <c r="Q260" i="2"/>
  <c r="R260" i="2"/>
  <c r="S260" i="2"/>
  <c r="E261" i="2"/>
  <c r="F261" i="2"/>
  <c r="G261" i="2"/>
  <c r="H261" i="2"/>
  <c r="I261" i="2"/>
  <c r="J261" i="2"/>
  <c r="K261" i="2"/>
  <c r="L261" i="2"/>
  <c r="M261" i="2"/>
  <c r="N261" i="2"/>
  <c r="O261" i="2"/>
  <c r="Q261" i="2"/>
  <c r="R261" i="2"/>
  <c r="S261" i="2"/>
  <c r="E262" i="2"/>
  <c r="F262" i="2"/>
  <c r="G262" i="2"/>
  <c r="H262" i="2"/>
  <c r="I262" i="2"/>
  <c r="J262" i="2"/>
  <c r="K262" i="2"/>
  <c r="L262" i="2"/>
  <c r="M262" i="2"/>
  <c r="N262" i="2"/>
  <c r="O262" i="2"/>
  <c r="Q262" i="2"/>
  <c r="R262" i="2"/>
  <c r="S262" i="2"/>
  <c r="E263" i="2"/>
  <c r="F263" i="2"/>
  <c r="G263" i="2"/>
  <c r="H263" i="2"/>
  <c r="I263" i="2"/>
  <c r="J263" i="2"/>
  <c r="K263" i="2"/>
  <c r="L263" i="2"/>
  <c r="M263" i="2"/>
  <c r="N263" i="2"/>
  <c r="O263" i="2"/>
  <c r="Q263" i="2"/>
  <c r="R263" i="2"/>
  <c r="S263" i="2"/>
  <c r="E264" i="2"/>
  <c r="F264" i="2"/>
  <c r="G264" i="2"/>
  <c r="H264" i="2"/>
  <c r="I264" i="2"/>
  <c r="J264" i="2"/>
  <c r="K264" i="2"/>
  <c r="L264" i="2"/>
  <c r="M264" i="2"/>
  <c r="N264" i="2"/>
  <c r="O264" i="2"/>
  <c r="Q264" i="2"/>
  <c r="R264" i="2"/>
  <c r="S264" i="2"/>
  <c r="E265" i="2"/>
  <c r="F265" i="2"/>
  <c r="G265" i="2"/>
  <c r="H265" i="2"/>
  <c r="I265" i="2"/>
  <c r="J265" i="2"/>
  <c r="K265" i="2"/>
  <c r="L265" i="2"/>
  <c r="M265" i="2"/>
  <c r="N265" i="2"/>
  <c r="O265" i="2"/>
  <c r="Q265" i="2"/>
  <c r="R265" i="2"/>
  <c r="S265" i="2"/>
  <c r="E266" i="2"/>
  <c r="F266" i="2"/>
  <c r="G266" i="2"/>
  <c r="H266" i="2"/>
  <c r="I266" i="2"/>
  <c r="J266" i="2"/>
  <c r="K266" i="2"/>
  <c r="L266" i="2"/>
  <c r="M266" i="2"/>
  <c r="N266" i="2"/>
  <c r="O266" i="2"/>
  <c r="Q266" i="2"/>
  <c r="R266" i="2"/>
  <c r="S266" i="2"/>
  <c r="E267" i="2"/>
  <c r="F267" i="2"/>
  <c r="G267" i="2"/>
  <c r="H267" i="2"/>
  <c r="I267" i="2"/>
  <c r="J267" i="2"/>
  <c r="K267" i="2"/>
  <c r="L267" i="2"/>
  <c r="M267" i="2"/>
  <c r="N267" i="2"/>
  <c r="O267" i="2"/>
  <c r="Q267" i="2"/>
  <c r="R267" i="2"/>
  <c r="S267" i="2"/>
  <c r="E268" i="2"/>
  <c r="F268" i="2"/>
  <c r="G268" i="2"/>
  <c r="H268" i="2"/>
  <c r="I268" i="2"/>
  <c r="J268" i="2"/>
  <c r="K268" i="2"/>
  <c r="L268" i="2"/>
  <c r="M268" i="2"/>
  <c r="N268" i="2"/>
  <c r="O268" i="2"/>
  <c r="Q268" i="2"/>
  <c r="R268" i="2"/>
  <c r="S268" i="2"/>
  <c r="E269" i="2"/>
  <c r="F269" i="2"/>
  <c r="G269" i="2"/>
  <c r="H269" i="2"/>
  <c r="I269" i="2"/>
  <c r="J269" i="2"/>
  <c r="K269" i="2"/>
  <c r="L269" i="2"/>
  <c r="M269" i="2"/>
  <c r="N269" i="2"/>
  <c r="O269" i="2"/>
  <c r="Q269" i="2"/>
  <c r="R269" i="2"/>
  <c r="S269" i="2"/>
  <c r="E270" i="2"/>
  <c r="F270" i="2"/>
  <c r="G270" i="2"/>
  <c r="H270" i="2"/>
  <c r="I270" i="2"/>
  <c r="J270" i="2"/>
  <c r="K270" i="2"/>
  <c r="L270" i="2"/>
  <c r="M270" i="2"/>
  <c r="N270" i="2"/>
  <c r="O270" i="2"/>
  <c r="Q270" i="2"/>
  <c r="R270" i="2"/>
  <c r="S270" i="2"/>
  <c r="E271" i="2"/>
  <c r="F271" i="2"/>
  <c r="G271" i="2"/>
  <c r="H271" i="2"/>
  <c r="I271" i="2"/>
  <c r="J271" i="2"/>
  <c r="K271" i="2"/>
  <c r="L271" i="2"/>
  <c r="M271" i="2"/>
  <c r="N271" i="2"/>
  <c r="O271" i="2"/>
  <c r="Q271" i="2"/>
  <c r="R271" i="2"/>
  <c r="S271" i="2"/>
  <c r="E272" i="2"/>
  <c r="F272" i="2"/>
  <c r="G272" i="2"/>
  <c r="H272" i="2"/>
  <c r="I272" i="2"/>
  <c r="J272" i="2"/>
  <c r="K272" i="2"/>
  <c r="L272" i="2"/>
  <c r="M272" i="2"/>
  <c r="N272" i="2"/>
  <c r="O272" i="2"/>
  <c r="Q272" i="2"/>
  <c r="R272" i="2"/>
  <c r="S272" i="2"/>
  <c r="E273" i="2"/>
  <c r="F273" i="2"/>
  <c r="G273" i="2"/>
  <c r="H273" i="2"/>
  <c r="I273" i="2"/>
  <c r="J273" i="2"/>
  <c r="K273" i="2"/>
  <c r="L273" i="2"/>
  <c r="M273" i="2"/>
  <c r="N273" i="2"/>
  <c r="O273" i="2"/>
  <c r="Q273" i="2"/>
  <c r="R273" i="2"/>
  <c r="S273" i="2"/>
  <c r="E274" i="2"/>
  <c r="F274" i="2"/>
  <c r="G274" i="2"/>
  <c r="H274" i="2"/>
  <c r="I274" i="2"/>
  <c r="J274" i="2"/>
  <c r="K274" i="2"/>
  <c r="L274" i="2"/>
  <c r="M274" i="2"/>
  <c r="N274" i="2"/>
  <c r="O274" i="2"/>
  <c r="Q274" i="2"/>
  <c r="R274" i="2"/>
  <c r="S274" i="2"/>
  <c r="E275" i="2"/>
  <c r="F275" i="2"/>
  <c r="G275" i="2"/>
  <c r="H275" i="2"/>
  <c r="I275" i="2"/>
  <c r="J275" i="2"/>
  <c r="K275" i="2"/>
  <c r="L275" i="2"/>
  <c r="M275" i="2"/>
  <c r="N275" i="2"/>
  <c r="O275" i="2"/>
  <c r="Q275" i="2"/>
  <c r="R275" i="2"/>
  <c r="S275" i="2"/>
  <c r="E276" i="2"/>
  <c r="F276" i="2"/>
  <c r="G276" i="2"/>
  <c r="H276" i="2"/>
  <c r="I276" i="2"/>
  <c r="J276" i="2"/>
  <c r="K276" i="2"/>
  <c r="L276" i="2"/>
  <c r="M276" i="2"/>
  <c r="N276" i="2"/>
  <c r="O276" i="2"/>
  <c r="Q276" i="2"/>
  <c r="R276" i="2"/>
  <c r="S276" i="2"/>
  <c r="E277" i="2"/>
  <c r="F277" i="2"/>
  <c r="G277" i="2"/>
  <c r="H277" i="2"/>
  <c r="I277" i="2"/>
  <c r="J277" i="2"/>
  <c r="K277" i="2"/>
  <c r="L277" i="2"/>
  <c r="M277" i="2"/>
  <c r="N277" i="2"/>
  <c r="O277" i="2"/>
  <c r="Q277" i="2"/>
  <c r="R277" i="2"/>
  <c r="S277" i="2"/>
  <c r="E278" i="2"/>
  <c r="F278" i="2"/>
  <c r="G278" i="2"/>
  <c r="H278" i="2"/>
  <c r="I278" i="2"/>
  <c r="J278" i="2"/>
  <c r="K278" i="2"/>
  <c r="L278" i="2"/>
  <c r="M278" i="2"/>
  <c r="N278" i="2"/>
  <c r="O278" i="2"/>
  <c r="Q278" i="2"/>
  <c r="R278" i="2"/>
  <c r="S278" i="2"/>
  <c r="E279" i="2"/>
  <c r="F279" i="2"/>
  <c r="G279" i="2"/>
  <c r="H279" i="2"/>
  <c r="I279" i="2"/>
  <c r="J279" i="2"/>
  <c r="K279" i="2"/>
  <c r="L279" i="2"/>
  <c r="M279" i="2"/>
  <c r="N279" i="2"/>
  <c r="O279" i="2"/>
  <c r="Q279" i="2"/>
  <c r="R279" i="2"/>
  <c r="S279" i="2"/>
  <c r="E280" i="2"/>
  <c r="F280" i="2"/>
  <c r="G280" i="2"/>
  <c r="H280" i="2"/>
  <c r="I280" i="2"/>
  <c r="J280" i="2"/>
  <c r="K280" i="2"/>
  <c r="L280" i="2"/>
  <c r="M280" i="2"/>
  <c r="N280" i="2"/>
  <c r="O280" i="2"/>
  <c r="Q280" i="2"/>
  <c r="R280" i="2"/>
  <c r="S280" i="2"/>
  <c r="E281" i="2"/>
  <c r="F281" i="2"/>
  <c r="G281" i="2"/>
  <c r="H281" i="2"/>
  <c r="I281" i="2"/>
  <c r="J281" i="2"/>
  <c r="K281" i="2"/>
  <c r="L281" i="2"/>
  <c r="M281" i="2"/>
  <c r="N281" i="2"/>
  <c r="O281" i="2"/>
  <c r="Q281" i="2"/>
  <c r="R281" i="2"/>
  <c r="S281" i="2"/>
  <c r="E282" i="2"/>
  <c r="F282" i="2"/>
  <c r="G282" i="2"/>
  <c r="H282" i="2"/>
  <c r="I282" i="2"/>
  <c r="J282" i="2"/>
  <c r="K282" i="2"/>
  <c r="L282" i="2"/>
  <c r="M282" i="2"/>
  <c r="N282" i="2"/>
  <c r="O282" i="2"/>
  <c r="Q282" i="2"/>
  <c r="R282" i="2"/>
  <c r="S282" i="2"/>
  <c r="E283" i="2"/>
  <c r="F283" i="2"/>
  <c r="G283" i="2"/>
  <c r="H283" i="2"/>
  <c r="I283" i="2"/>
  <c r="J283" i="2"/>
  <c r="K283" i="2"/>
  <c r="L283" i="2"/>
  <c r="M283" i="2"/>
  <c r="N283" i="2"/>
  <c r="O283" i="2"/>
  <c r="Q283" i="2"/>
  <c r="R283" i="2"/>
  <c r="S283" i="2"/>
  <c r="E284" i="2"/>
  <c r="F284" i="2"/>
  <c r="G284" i="2"/>
  <c r="H284" i="2"/>
  <c r="I284" i="2"/>
  <c r="J284" i="2"/>
  <c r="K284" i="2"/>
  <c r="L284" i="2"/>
  <c r="M284" i="2"/>
  <c r="N284" i="2"/>
  <c r="O284" i="2"/>
  <c r="Q284" i="2"/>
  <c r="R284" i="2"/>
  <c r="S284" i="2"/>
  <c r="E285" i="2"/>
  <c r="F285" i="2"/>
  <c r="G285" i="2"/>
  <c r="H285" i="2"/>
  <c r="I285" i="2"/>
  <c r="J285" i="2"/>
  <c r="K285" i="2"/>
  <c r="L285" i="2"/>
  <c r="M285" i="2"/>
  <c r="N285" i="2"/>
  <c r="O285" i="2"/>
  <c r="Q285" i="2"/>
  <c r="R285" i="2"/>
  <c r="S285" i="2"/>
  <c r="E286" i="2"/>
  <c r="F286" i="2"/>
  <c r="G286" i="2"/>
  <c r="H286" i="2"/>
  <c r="I286" i="2"/>
  <c r="J286" i="2"/>
  <c r="K286" i="2"/>
  <c r="L286" i="2"/>
  <c r="M286" i="2"/>
  <c r="N286" i="2"/>
  <c r="O286" i="2"/>
  <c r="Q286" i="2"/>
  <c r="R286" i="2"/>
  <c r="S286" i="2"/>
  <c r="E287" i="2"/>
  <c r="F287" i="2"/>
  <c r="G287" i="2"/>
  <c r="H287" i="2"/>
  <c r="I287" i="2"/>
  <c r="J287" i="2"/>
  <c r="K287" i="2"/>
  <c r="L287" i="2"/>
  <c r="M287" i="2"/>
  <c r="N287" i="2"/>
  <c r="O287" i="2"/>
  <c r="Q287" i="2"/>
  <c r="R287" i="2"/>
  <c r="S287" i="2"/>
  <c r="E288" i="2"/>
  <c r="F288" i="2"/>
  <c r="G288" i="2"/>
  <c r="H288" i="2"/>
  <c r="I288" i="2"/>
  <c r="J288" i="2"/>
  <c r="K288" i="2"/>
  <c r="L288" i="2"/>
  <c r="M288" i="2"/>
  <c r="N288" i="2"/>
  <c r="O288" i="2"/>
  <c r="Q288" i="2"/>
  <c r="R288" i="2"/>
  <c r="S288" i="2"/>
  <c r="E289" i="2"/>
  <c r="F289" i="2"/>
  <c r="G289" i="2"/>
  <c r="H289" i="2"/>
  <c r="I289" i="2"/>
  <c r="J289" i="2"/>
  <c r="K289" i="2"/>
  <c r="L289" i="2"/>
  <c r="M289" i="2"/>
  <c r="N289" i="2"/>
  <c r="O289" i="2"/>
  <c r="Q289" i="2"/>
  <c r="R289" i="2"/>
  <c r="S289" i="2"/>
  <c r="E290" i="2"/>
  <c r="F290" i="2"/>
  <c r="G290" i="2"/>
  <c r="H290" i="2"/>
  <c r="I290" i="2"/>
  <c r="J290" i="2"/>
  <c r="K290" i="2"/>
  <c r="L290" i="2"/>
  <c r="M290" i="2"/>
  <c r="N290" i="2"/>
  <c r="O290" i="2"/>
  <c r="Q290" i="2"/>
  <c r="R290" i="2"/>
  <c r="S290" i="2"/>
  <c r="E291" i="2"/>
  <c r="F291" i="2"/>
  <c r="G291" i="2"/>
  <c r="H291" i="2"/>
  <c r="I291" i="2"/>
  <c r="J291" i="2"/>
  <c r="K291" i="2"/>
  <c r="L291" i="2"/>
  <c r="M291" i="2"/>
  <c r="N291" i="2"/>
  <c r="O291" i="2"/>
  <c r="Q291" i="2"/>
  <c r="R291" i="2"/>
  <c r="S291" i="2"/>
  <c r="E292" i="2"/>
  <c r="F292" i="2"/>
  <c r="G292" i="2"/>
  <c r="H292" i="2"/>
  <c r="I292" i="2"/>
  <c r="J292" i="2"/>
  <c r="K292" i="2"/>
  <c r="L292" i="2"/>
  <c r="M292" i="2"/>
  <c r="N292" i="2"/>
  <c r="O292" i="2"/>
  <c r="Q292" i="2"/>
  <c r="R292" i="2"/>
  <c r="S292" i="2"/>
  <c r="E293" i="2"/>
  <c r="F293" i="2"/>
  <c r="G293" i="2"/>
  <c r="H293" i="2"/>
  <c r="I293" i="2"/>
  <c r="J293" i="2"/>
  <c r="K293" i="2"/>
  <c r="L293" i="2"/>
  <c r="M293" i="2"/>
  <c r="N293" i="2"/>
  <c r="O293" i="2"/>
  <c r="Q293" i="2"/>
  <c r="R293" i="2"/>
  <c r="S293" i="2"/>
  <c r="E294" i="2"/>
  <c r="F294" i="2"/>
  <c r="G294" i="2"/>
  <c r="H294" i="2"/>
  <c r="I294" i="2"/>
  <c r="J294" i="2"/>
  <c r="K294" i="2"/>
  <c r="L294" i="2"/>
  <c r="M294" i="2"/>
  <c r="N294" i="2"/>
  <c r="O294" i="2"/>
  <c r="Q294" i="2"/>
  <c r="R294" i="2"/>
  <c r="S294" i="2"/>
  <c r="E295" i="2"/>
  <c r="F295" i="2"/>
  <c r="G295" i="2"/>
  <c r="H295" i="2"/>
  <c r="I295" i="2"/>
  <c r="J295" i="2"/>
  <c r="K295" i="2"/>
  <c r="L295" i="2"/>
  <c r="M295" i="2"/>
  <c r="N295" i="2"/>
  <c r="O295" i="2"/>
  <c r="Q295" i="2"/>
  <c r="R295" i="2"/>
  <c r="S295" i="2"/>
  <c r="E296" i="2"/>
  <c r="F296" i="2"/>
  <c r="G296" i="2"/>
  <c r="H296" i="2"/>
  <c r="I296" i="2"/>
  <c r="J296" i="2"/>
  <c r="K296" i="2"/>
  <c r="L296" i="2"/>
  <c r="M296" i="2"/>
  <c r="N296" i="2"/>
  <c r="O296" i="2"/>
  <c r="Q296" i="2"/>
  <c r="R296" i="2"/>
  <c r="S296" i="2"/>
  <c r="E297" i="2"/>
  <c r="F297" i="2"/>
  <c r="G297" i="2"/>
  <c r="H297" i="2"/>
  <c r="I297" i="2"/>
  <c r="J297" i="2"/>
  <c r="K297" i="2"/>
  <c r="L297" i="2"/>
  <c r="M297" i="2"/>
  <c r="N297" i="2"/>
  <c r="O297" i="2"/>
  <c r="Q297" i="2"/>
  <c r="R297" i="2"/>
  <c r="S297" i="2"/>
  <c r="E298" i="2"/>
  <c r="F298" i="2"/>
  <c r="G298" i="2"/>
  <c r="H298" i="2"/>
  <c r="I298" i="2"/>
  <c r="J298" i="2"/>
  <c r="K298" i="2"/>
  <c r="L298" i="2"/>
  <c r="M298" i="2"/>
  <c r="N298" i="2"/>
  <c r="O298" i="2"/>
  <c r="Q298" i="2"/>
  <c r="R298" i="2"/>
  <c r="S298" i="2"/>
  <c r="E299" i="2"/>
  <c r="F299" i="2"/>
  <c r="G299" i="2"/>
  <c r="H299" i="2"/>
  <c r="I299" i="2"/>
  <c r="J299" i="2"/>
  <c r="K299" i="2"/>
  <c r="L299" i="2"/>
  <c r="M299" i="2"/>
  <c r="N299" i="2"/>
  <c r="O299" i="2"/>
  <c r="Q299" i="2"/>
  <c r="R299" i="2"/>
  <c r="S299" i="2"/>
  <c r="E300" i="2"/>
  <c r="F300" i="2"/>
  <c r="G300" i="2"/>
  <c r="H300" i="2"/>
  <c r="I300" i="2"/>
  <c r="J300" i="2"/>
  <c r="K300" i="2"/>
  <c r="L300" i="2"/>
  <c r="M300" i="2"/>
  <c r="N300" i="2"/>
  <c r="O300" i="2"/>
  <c r="Q300" i="2"/>
  <c r="R300" i="2"/>
  <c r="S300" i="2"/>
  <c r="E301" i="2"/>
  <c r="F301" i="2"/>
  <c r="G301" i="2"/>
  <c r="H301" i="2"/>
  <c r="I301" i="2"/>
  <c r="J301" i="2"/>
  <c r="K301" i="2"/>
  <c r="L301" i="2"/>
  <c r="M301" i="2"/>
  <c r="N301" i="2"/>
  <c r="O301" i="2"/>
  <c r="Q301" i="2"/>
  <c r="R301" i="2"/>
  <c r="S301" i="2"/>
  <c r="E302" i="2"/>
  <c r="F302" i="2"/>
  <c r="G302" i="2"/>
  <c r="H302" i="2"/>
  <c r="I302" i="2"/>
  <c r="J302" i="2"/>
  <c r="K302" i="2"/>
  <c r="L302" i="2"/>
  <c r="M302" i="2"/>
  <c r="N302" i="2"/>
  <c r="O302" i="2"/>
  <c r="Q302" i="2"/>
  <c r="R302" i="2"/>
  <c r="S302" i="2"/>
  <c r="E303" i="2"/>
  <c r="F303" i="2"/>
  <c r="G303" i="2"/>
  <c r="H303" i="2"/>
  <c r="I303" i="2"/>
  <c r="J303" i="2"/>
  <c r="K303" i="2"/>
  <c r="L303" i="2"/>
  <c r="M303" i="2"/>
  <c r="N303" i="2"/>
  <c r="O303" i="2"/>
  <c r="Q303" i="2"/>
  <c r="R303" i="2"/>
  <c r="S303" i="2"/>
  <c r="E304" i="2"/>
  <c r="F304" i="2"/>
  <c r="G304" i="2"/>
  <c r="H304" i="2"/>
  <c r="I304" i="2"/>
  <c r="J304" i="2"/>
  <c r="K304" i="2"/>
  <c r="L304" i="2"/>
  <c r="M304" i="2"/>
  <c r="N304" i="2"/>
  <c r="O304" i="2"/>
  <c r="Q304" i="2"/>
  <c r="R304" i="2"/>
  <c r="S304" i="2"/>
  <c r="E305" i="2"/>
  <c r="F305" i="2"/>
  <c r="G305" i="2"/>
  <c r="H305" i="2"/>
  <c r="I305" i="2"/>
  <c r="J305" i="2"/>
  <c r="K305" i="2"/>
  <c r="L305" i="2"/>
  <c r="M305" i="2"/>
  <c r="N305" i="2"/>
  <c r="O305" i="2"/>
  <c r="Q305" i="2"/>
  <c r="R305" i="2"/>
  <c r="S305" i="2"/>
  <c r="E306" i="2"/>
  <c r="F306" i="2"/>
  <c r="G306" i="2"/>
  <c r="H306" i="2"/>
  <c r="I306" i="2"/>
  <c r="J306" i="2"/>
  <c r="K306" i="2"/>
  <c r="L306" i="2"/>
  <c r="M306" i="2"/>
  <c r="N306" i="2"/>
  <c r="O306" i="2"/>
  <c r="Q306" i="2"/>
  <c r="R306" i="2"/>
  <c r="S306" i="2"/>
  <c r="E307" i="2"/>
  <c r="F307" i="2"/>
  <c r="G307" i="2"/>
  <c r="H307" i="2"/>
  <c r="I307" i="2"/>
  <c r="J307" i="2"/>
  <c r="K307" i="2"/>
  <c r="L307" i="2"/>
  <c r="M307" i="2"/>
  <c r="N307" i="2"/>
  <c r="O307" i="2"/>
  <c r="Q307" i="2"/>
  <c r="R307" i="2"/>
  <c r="S307" i="2"/>
  <c r="E308" i="2"/>
  <c r="F308" i="2"/>
  <c r="G308" i="2"/>
  <c r="H308" i="2"/>
  <c r="I308" i="2"/>
  <c r="J308" i="2"/>
  <c r="K308" i="2"/>
  <c r="L308" i="2"/>
  <c r="M308" i="2"/>
  <c r="N308" i="2"/>
  <c r="O308" i="2"/>
  <c r="Q308" i="2"/>
  <c r="R308" i="2"/>
  <c r="S308" i="2"/>
  <c r="E309" i="2"/>
  <c r="F309" i="2"/>
  <c r="G309" i="2"/>
  <c r="H309" i="2"/>
  <c r="I309" i="2"/>
  <c r="J309" i="2"/>
  <c r="K309" i="2"/>
  <c r="L309" i="2"/>
  <c r="M309" i="2"/>
  <c r="N309" i="2"/>
  <c r="O309" i="2"/>
  <c r="Q309" i="2"/>
  <c r="R309" i="2"/>
  <c r="S309" i="2"/>
  <c r="E310" i="2"/>
  <c r="F310" i="2"/>
  <c r="G310" i="2"/>
  <c r="H310" i="2"/>
  <c r="I310" i="2"/>
  <c r="J310" i="2"/>
  <c r="K310" i="2"/>
  <c r="L310" i="2"/>
  <c r="M310" i="2"/>
  <c r="N310" i="2"/>
  <c r="O310" i="2"/>
  <c r="Q310" i="2"/>
  <c r="R310" i="2"/>
  <c r="S310" i="2"/>
  <c r="E311" i="2"/>
  <c r="F311" i="2"/>
  <c r="G311" i="2"/>
  <c r="H311" i="2"/>
  <c r="I311" i="2"/>
  <c r="J311" i="2"/>
  <c r="K311" i="2"/>
  <c r="L311" i="2"/>
  <c r="M311" i="2"/>
  <c r="N311" i="2"/>
  <c r="O311" i="2"/>
  <c r="Q311" i="2"/>
  <c r="R311" i="2"/>
  <c r="S311" i="2"/>
  <c r="E312" i="2"/>
  <c r="F312" i="2"/>
  <c r="G312" i="2"/>
  <c r="H312" i="2"/>
  <c r="I312" i="2"/>
  <c r="J312" i="2"/>
  <c r="K312" i="2"/>
  <c r="L312" i="2"/>
  <c r="M312" i="2"/>
  <c r="N312" i="2"/>
  <c r="O312" i="2"/>
  <c r="Q312" i="2"/>
  <c r="R312" i="2"/>
  <c r="S312" i="2"/>
  <c r="E313" i="2"/>
  <c r="F313" i="2"/>
  <c r="G313" i="2"/>
  <c r="H313" i="2"/>
  <c r="I313" i="2"/>
  <c r="J313" i="2"/>
  <c r="K313" i="2"/>
  <c r="L313" i="2"/>
  <c r="M313" i="2"/>
  <c r="N313" i="2"/>
  <c r="O313" i="2"/>
  <c r="Q313" i="2"/>
  <c r="R313" i="2"/>
  <c r="S313" i="2"/>
  <c r="E314" i="2"/>
  <c r="F314" i="2"/>
  <c r="G314" i="2"/>
  <c r="H314" i="2"/>
  <c r="I314" i="2"/>
  <c r="J314" i="2"/>
  <c r="K314" i="2"/>
  <c r="L314" i="2"/>
  <c r="M314" i="2"/>
  <c r="N314" i="2"/>
  <c r="O314" i="2"/>
  <c r="Q314" i="2"/>
  <c r="R314" i="2"/>
  <c r="S314" i="2"/>
  <c r="E315" i="2"/>
  <c r="F315" i="2"/>
  <c r="G315" i="2"/>
  <c r="H315" i="2"/>
  <c r="I315" i="2"/>
  <c r="J315" i="2"/>
  <c r="K315" i="2"/>
  <c r="L315" i="2"/>
  <c r="M315" i="2"/>
  <c r="N315" i="2"/>
  <c r="O315" i="2"/>
  <c r="Q315" i="2"/>
  <c r="R315" i="2"/>
  <c r="S315" i="2"/>
  <c r="E316" i="2"/>
  <c r="F316" i="2"/>
  <c r="G316" i="2"/>
  <c r="H316" i="2"/>
  <c r="I316" i="2"/>
  <c r="J316" i="2"/>
  <c r="K316" i="2"/>
  <c r="L316" i="2"/>
  <c r="M316" i="2"/>
  <c r="N316" i="2"/>
  <c r="O316" i="2"/>
  <c r="Q316" i="2"/>
  <c r="R316" i="2"/>
  <c r="S316" i="2"/>
  <c r="E317" i="2"/>
  <c r="F317" i="2"/>
  <c r="G317" i="2"/>
  <c r="H317" i="2"/>
  <c r="I317" i="2"/>
  <c r="J317" i="2"/>
  <c r="K317" i="2"/>
  <c r="L317" i="2"/>
  <c r="M317" i="2"/>
  <c r="N317" i="2"/>
  <c r="O317" i="2"/>
  <c r="Q317" i="2"/>
  <c r="R317" i="2"/>
  <c r="S317" i="2"/>
  <c r="E318" i="2"/>
  <c r="F318" i="2"/>
  <c r="G318" i="2"/>
  <c r="H318" i="2"/>
  <c r="I318" i="2"/>
  <c r="J318" i="2"/>
  <c r="K318" i="2"/>
  <c r="L318" i="2"/>
  <c r="M318" i="2"/>
  <c r="N318" i="2"/>
  <c r="O318" i="2"/>
  <c r="Q318" i="2"/>
  <c r="R318" i="2"/>
  <c r="S318" i="2"/>
  <c r="E319" i="2"/>
  <c r="F319" i="2"/>
  <c r="G319" i="2"/>
  <c r="H319" i="2"/>
  <c r="I319" i="2"/>
  <c r="J319" i="2"/>
  <c r="K319" i="2"/>
  <c r="L319" i="2"/>
  <c r="M319" i="2"/>
  <c r="N319" i="2"/>
  <c r="O319" i="2"/>
  <c r="Q319" i="2"/>
  <c r="R319" i="2"/>
  <c r="S319" i="2"/>
  <c r="E320" i="2"/>
  <c r="F320" i="2"/>
  <c r="G320" i="2"/>
  <c r="H320" i="2"/>
  <c r="I320" i="2"/>
  <c r="J320" i="2"/>
  <c r="K320" i="2"/>
  <c r="L320" i="2"/>
  <c r="M320" i="2"/>
  <c r="N320" i="2"/>
  <c r="O320" i="2"/>
  <c r="Q320" i="2"/>
  <c r="R320" i="2"/>
  <c r="S320" i="2"/>
  <c r="E321" i="2"/>
  <c r="F321" i="2"/>
  <c r="G321" i="2"/>
  <c r="H321" i="2"/>
  <c r="I321" i="2"/>
  <c r="J321" i="2"/>
  <c r="K321" i="2"/>
  <c r="L321" i="2"/>
  <c r="M321" i="2"/>
  <c r="N321" i="2"/>
  <c r="O321" i="2"/>
  <c r="Q321" i="2"/>
  <c r="R321" i="2"/>
  <c r="S321" i="2"/>
  <c r="E322" i="2"/>
  <c r="F322" i="2"/>
  <c r="G322" i="2"/>
  <c r="H322" i="2"/>
  <c r="I322" i="2"/>
  <c r="J322" i="2"/>
  <c r="K322" i="2"/>
  <c r="L322" i="2"/>
  <c r="M322" i="2"/>
  <c r="N322" i="2"/>
  <c r="O322" i="2"/>
  <c r="Q322" i="2"/>
  <c r="R322" i="2"/>
  <c r="S322" i="2"/>
  <c r="E323" i="2"/>
  <c r="F323" i="2"/>
  <c r="G323" i="2"/>
  <c r="H323" i="2"/>
  <c r="I323" i="2"/>
  <c r="J323" i="2"/>
  <c r="K323" i="2"/>
  <c r="L323" i="2"/>
  <c r="M323" i="2"/>
  <c r="N323" i="2"/>
  <c r="O323" i="2"/>
  <c r="Q323" i="2"/>
  <c r="R323" i="2"/>
  <c r="S323" i="2"/>
  <c r="E324" i="2"/>
  <c r="F324" i="2"/>
  <c r="G324" i="2"/>
  <c r="H324" i="2"/>
  <c r="I324" i="2"/>
  <c r="J324" i="2"/>
  <c r="K324" i="2"/>
  <c r="L324" i="2"/>
  <c r="M324" i="2"/>
  <c r="N324" i="2"/>
  <c r="O324" i="2"/>
  <c r="Q324" i="2"/>
  <c r="R324" i="2"/>
  <c r="S324" i="2"/>
  <c r="E325" i="2"/>
  <c r="F325" i="2"/>
  <c r="G325" i="2"/>
  <c r="H325" i="2"/>
  <c r="I325" i="2"/>
  <c r="J325" i="2"/>
  <c r="K325" i="2"/>
  <c r="L325" i="2"/>
  <c r="M325" i="2"/>
  <c r="N325" i="2"/>
  <c r="O325" i="2"/>
  <c r="Q325" i="2"/>
  <c r="R325" i="2"/>
  <c r="S325" i="2"/>
  <c r="E326" i="2"/>
  <c r="F326" i="2"/>
  <c r="G326" i="2"/>
  <c r="H326" i="2"/>
  <c r="I326" i="2"/>
  <c r="J326" i="2"/>
  <c r="K326" i="2"/>
  <c r="L326" i="2"/>
  <c r="M326" i="2"/>
  <c r="N326" i="2"/>
  <c r="O326" i="2"/>
  <c r="Q326" i="2"/>
  <c r="R326" i="2"/>
  <c r="S326" i="2"/>
  <c r="E327" i="2"/>
  <c r="F327" i="2"/>
  <c r="G327" i="2"/>
  <c r="H327" i="2"/>
  <c r="I327" i="2"/>
  <c r="J327" i="2"/>
  <c r="K327" i="2"/>
  <c r="L327" i="2"/>
  <c r="M327" i="2"/>
  <c r="N327" i="2"/>
  <c r="O327" i="2"/>
  <c r="Q327" i="2"/>
  <c r="R327" i="2"/>
  <c r="S327" i="2"/>
  <c r="E328" i="2"/>
  <c r="F328" i="2"/>
  <c r="G328" i="2"/>
  <c r="H328" i="2"/>
  <c r="I328" i="2"/>
  <c r="J328" i="2"/>
  <c r="K328" i="2"/>
  <c r="L328" i="2"/>
  <c r="M328" i="2"/>
  <c r="N328" i="2"/>
  <c r="O328" i="2"/>
  <c r="Q328" i="2"/>
  <c r="R328" i="2"/>
  <c r="S328" i="2"/>
  <c r="E329" i="2"/>
  <c r="F329" i="2"/>
  <c r="G329" i="2"/>
  <c r="H329" i="2"/>
  <c r="I329" i="2"/>
  <c r="J329" i="2"/>
  <c r="K329" i="2"/>
  <c r="L329" i="2"/>
  <c r="M329" i="2"/>
  <c r="N329" i="2"/>
  <c r="O329" i="2"/>
  <c r="Q329" i="2"/>
  <c r="R329" i="2"/>
  <c r="S329" i="2"/>
  <c r="E330" i="2"/>
  <c r="F330" i="2"/>
  <c r="G330" i="2"/>
  <c r="H330" i="2"/>
  <c r="I330" i="2"/>
  <c r="J330" i="2"/>
  <c r="K330" i="2"/>
  <c r="L330" i="2"/>
  <c r="M330" i="2"/>
  <c r="N330" i="2"/>
  <c r="O330" i="2"/>
  <c r="Q330" i="2"/>
  <c r="R330" i="2"/>
  <c r="S330" i="2"/>
  <c r="E331" i="2"/>
  <c r="F331" i="2"/>
  <c r="G331" i="2"/>
  <c r="H331" i="2"/>
  <c r="I331" i="2"/>
  <c r="J331" i="2"/>
  <c r="K331" i="2"/>
  <c r="L331" i="2"/>
  <c r="M331" i="2"/>
  <c r="N331" i="2"/>
  <c r="O331" i="2"/>
  <c r="Q331" i="2"/>
  <c r="R331" i="2"/>
  <c r="S331" i="2"/>
  <c r="E332" i="2"/>
  <c r="F332" i="2"/>
  <c r="G332" i="2"/>
  <c r="H332" i="2"/>
  <c r="I332" i="2"/>
  <c r="J332" i="2"/>
  <c r="K332" i="2"/>
  <c r="L332" i="2"/>
  <c r="M332" i="2"/>
  <c r="N332" i="2"/>
  <c r="O332" i="2"/>
  <c r="Q332" i="2"/>
  <c r="R332" i="2"/>
  <c r="S332" i="2"/>
  <c r="E333" i="2"/>
  <c r="F333" i="2"/>
  <c r="G333" i="2"/>
  <c r="H333" i="2"/>
  <c r="I333" i="2"/>
  <c r="J333" i="2"/>
  <c r="K333" i="2"/>
  <c r="L333" i="2"/>
  <c r="M333" i="2"/>
  <c r="N333" i="2"/>
  <c r="O333" i="2"/>
  <c r="Q333" i="2"/>
  <c r="R333" i="2"/>
  <c r="S333" i="2"/>
  <c r="E334" i="2"/>
  <c r="F334" i="2"/>
  <c r="G334" i="2"/>
  <c r="H334" i="2"/>
  <c r="I334" i="2"/>
  <c r="J334" i="2"/>
  <c r="K334" i="2"/>
  <c r="L334" i="2"/>
  <c r="M334" i="2"/>
  <c r="N334" i="2"/>
  <c r="O334" i="2"/>
  <c r="Q334" i="2"/>
  <c r="R334" i="2"/>
  <c r="S334" i="2"/>
  <c r="E335" i="2"/>
  <c r="F335" i="2"/>
  <c r="G335" i="2"/>
  <c r="H335" i="2"/>
  <c r="I335" i="2"/>
  <c r="J335" i="2"/>
  <c r="K335" i="2"/>
  <c r="L335" i="2"/>
  <c r="M335" i="2"/>
  <c r="N335" i="2"/>
  <c r="O335" i="2"/>
  <c r="Q335" i="2"/>
  <c r="R335" i="2"/>
  <c r="S335" i="2"/>
  <c r="E336" i="2"/>
  <c r="F336" i="2"/>
  <c r="G336" i="2"/>
  <c r="H336" i="2"/>
  <c r="I336" i="2"/>
  <c r="J336" i="2"/>
  <c r="K336" i="2"/>
  <c r="L336" i="2"/>
  <c r="M336" i="2"/>
  <c r="N336" i="2"/>
  <c r="O336" i="2"/>
  <c r="Q336" i="2"/>
  <c r="R336" i="2"/>
  <c r="S336" i="2"/>
  <c r="E337" i="2"/>
  <c r="F337" i="2"/>
  <c r="G337" i="2"/>
  <c r="H337" i="2"/>
  <c r="I337" i="2"/>
  <c r="J337" i="2"/>
  <c r="K337" i="2"/>
  <c r="L337" i="2"/>
  <c r="M337" i="2"/>
  <c r="N337" i="2"/>
  <c r="O337" i="2"/>
  <c r="Q337" i="2"/>
  <c r="R337" i="2"/>
  <c r="S337" i="2"/>
  <c r="E338" i="2"/>
  <c r="F338" i="2"/>
  <c r="G338" i="2"/>
  <c r="H338" i="2"/>
  <c r="I338" i="2"/>
  <c r="J338" i="2"/>
  <c r="K338" i="2"/>
  <c r="L338" i="2"/>
  <c r="M338" i="2"/>
  <c r="N338" i="2"/>
  <c r="O338" i="2"/>
  <c r="Q338" i="2"/>
  <c r="R338" i="2"/>
  <c r="S338" i="2"/>
  <c r="E339" i="2"/>
  <c r="F339" i="2"/>
  <c r="G339" i="2"/>
  <c r="H339" i="2"/>
  <c r="I339" i="2"/>
  <c r="J339" i="2"/>
  <c r="K339" i="2"/>
  <c r="L339" i="2"/>
  <c r="M339" i="2"/>
  <c r="N339" i="2"/>
  <c r="O339" i="2"/>
  <c r="Q339" i="2"/>
  <c r="R339" i="2"/>
  <c r="S339" i="2"/>
  <c r="E340" i="2"/>
  <c r="F340" i="2"/>
  <c r="G340" i="2"/>
  <c r="H340" i="2"/>
  <c r="I340" i="2"/>
  <c r="J340" i="2"/>
  <c r="K340" i="2"/>
  <c r="L340" i="2"/>
  <c r="M340" i="2"/>
  <c r="N340" i="2"/>
  <c r="O340" i="2"/>
  <c r="Q340" i="2"/>
  <c r="R340" i="2"/>
  <c r="S340" i="2"/>
  <c r="E341" i="2"/>
  <c r="F341" i="2"/>
  <c r="G341" i="2"/>
  <c r="H341" i="2"/>
  <c r="I341" i="2"/>
  <c r="J341" i="2"/>
  <c r="K341" i="2"/>
  <c r="L341" i="2"/>
  <c r="M341" i="2"/>
  <c r="N341" i="2"/>
  <c r="O341" i="2"/>
  <c r="Q341" i="2"/>
  <c r="R341" i="2"/>
  <c r="S341" i="2"/>
  <c r="E342" i="2"/>
  <c r="F342" i="2"/>
  <c r="G342" i="2"/>
  <c r="H342" i="2"/>
  <c r="I342" i="2"/>
  <c r="J342" i="2"/>
  <c r="K342" i="2"/>
  <c r="L342" i="2"/>
  <c r="M342" i="2"/>
  <c r="N342" i="2"/>
  <c r="O342" i="2"/>
  <c r="Q342" i="2"/>
  <c r="R342" i="2"/>
  <c r="S342" i="2"/>
  <c r="E343" i="2"/>
  <c r="F343" i="2"/>
  <c r="G343" i="2"/>
  <c r="H343" i="2"/>
  <c r="I343" i="2"/>
  <c r="J343" i="2"/>
  <c r="K343" i="2"/>
  <c r="L343" i="2"/>
  <c r="M343" i="2"/>
  <c r="N343" i="2"/>
  <c r="O343" i="2"/>
  <c r="Q343" i="2"/>
  <c r="R343" i="2"/>
  <c r="S343" i="2"/>
  <c r="E344" i="2"/>
  <c r="F344" i="2"/>
  <c r="G344" i="2"/>
  <c r="H344" i="2"/>
  <c r="I344" i="2"/>
  <c r="J344" i="2"/>
  <c r="K344" i="2"/>
  <c r="L344" i="2"/>
  <c r="M344" i="2"/>
  <c r="N344" i="2"/>
  <c r="O344" i="2"/>
  <c r="Q344" i="2"/>
  <c r="R344" i="2"/>
  <c r="S344" i="2"/>
  <c r="E345" i="2"/>
  <c r="F345" i="2"/>
  <c r="G345" i="2"/>
  <c r="H345" i="2"/>
  <c r="I345" i="2"/>
  <c r="J345" i="2"/>
  <c r="K345" i="2"/>
  <c r="L345" i="2"/>
  <c r="M345" i="2"/>
  <c r="N345" i="2"/>
  <c r="O345" i="2"/>
  <c r="Q345" i="2"/>
  <c r="R345" i="2"/>
  <c r="S345" i="2"/>
  <c r="E346" i="2"/>
  <c r="F346" i="2"/>
  <c r="G346" i="2"/>
  <c r="H346" i="2"/>
  <c r="I346" i="2"/>
  <c r="J346" i="2"/>
  <c r="K346" i="2"/>
  <c r="L346" i="2"/>
  <c r="M346" i="2"/>
  <c r="N346" i="2"/>
  <c r="O346" i="2"/>
  <c r="Q346" i="2"/>
  <c r="R346" i="2"/>
  <c r="S346" i="2"/>
  <c r="E347" i="2"/>
  <c r="F347" i="2"/>
  <c r="G347" i="2"/>
  <c r="H347" i="2"/>
  <c r="I347" i="2"/>
  <c r="J347" i="2"/>
  <c r="K347" i="2"/>
  <c r="L347" i="2"/>
  <c r="M347" i="2"/>
  <c r="N347" i="2"/>
  <c r="O347" i="2"/>
  <c r="Q347" i="2"/>
  <c r="R347" i="2"/>
  <c r="S347" i="2"/>
  <c r="E348" i="2"/>
  <c r="F348" i="2"/>
  <c r="G348" i="2"/>
  <c r="H348" i="2"/>
  <c r="I348" i="2"/>
  <c r="J348" i="2"/>
  <c r="K348" i="2"/>
  <c r="L348" i="2"/>
  <c r="M348" i="2"/>
  <c r="N348" i="2"/>
  <c r="O348" i="2"/>
  <c r="Q348" i="2"/>
  <c r="R348" i="2"/>
  <c r="S348" i="2"/>
  <c r="E349" i="2"/>
  <c r="F349" i="2"/>
  <c r="G349" i="2"/>
  <c r="H349" i="2"/>
  <c r="I349" i="2"/>
  <c r="J349" i="2"/>
  <c r="K349" i="2"/>
  <c r="L349" i="2"/>
  <c r="M349" i="2"/>
  <c r="N349" i="2"/>
  <c r="O349" i="2"/>
  <c r="Q349" i="2"/>
  <c r="R349" i="2"/>
  <c r="S349" i="2"/>
  <c r="E350" i="2"/>
  <c r="F350" i="2"/>
  <c r="G350" i="2"/>
  <c r="H350" i="2"/>
  <c r="I350" i="2"/>
  <c r="J350" i="2"/>
  <c r="K350" i="2"/>
  <c r="L350" i="2"/>
  <c r="M350" i="2"/>
  <c r="N350" i="2"/>
  <c r="O350" i="2"/>
  <c r="Q350" i="2"/>
  <c r="R350" i="2"/>
  <c r="S350" i="2"/>
  <c r="E351" i="2"/>
  <c r="F351" i="2"/>
  <c r="G351" i="2"/>
  <c r="H351" i="2"/>
  <c r="I351" i="2"/>
  <c r="J351" i="2"/>
  <c r="K351" i="2"/>
  <c r="L351" i="2"/>
  <c r="M351" i="2"/>
  <c r="N351" i="2"/>
  <c r="O351" i="2"/>
  <c r="Q351" i="2"/>
  <c r="R351" i="2"/>
  <c r="S351" i="2"/>
  <c r="E352" i="2"/>
  <c r="F352" i="2"/>
  <c r="G352" i="2"/>
  <c r="H352" i="2"/>
  <c r="I352" i="2"/>
  <c r="J352" i="2"/>
  <c r="K352" i="2"/>
  <c r="L352" i="2"/>
  <c r="M352" i="2"/>
  <c r="N352" i="2"/>
  <c r="O352" i="2"/>
  <c r="Q352" i="2"/>
  <c r="R352" i="2"/>
  <c r="S352" i="2"/>
  <c r="E353" i="2"/>
  <c r="F353" i="2"/>
  <c r="G353" i="2"/>
  <c r="H353" i="2"/>
  <c r="I353" i="2"/>
  <c r="J353" i="2"/>
  <c r="K353" i="2"/>
  <c r="L353" i="2"/>
  <c r="M353" i="2"/>
  <c r="N353" i="2"/>
  <c r="O353" i="2"/>
  <c r="Q353" i="2"/>
  <c r="R353" i="2"/>
  <c r="S353" i="2"/>
  <c r="E354" i="2"/>
  <c r="F354" i="2"/>
  <c r="G354" i="2"/>
  <c r="H354" i="2"/>
  <c r="I354" i="2"/>
  <c r="J354" i="2"/>
  <c r="K354" i="2"/>
  <c r="L354" i="2"/>
  <c r="M354" i="2"/>
  <c r="N354" i="2"/>
  <c r="O354" i="2"/>
  <c r="Q354" i="2"/>
  <c r="R354" i="2"/>
  <c r="S354" i="2"/>
  <c r="E355" i="2"/>
  <c r="F355" i="2"/>
  <c r="G355" i="2"/>
  <c r="H355" i="2"/>
  <c r="I355" i="2"/>
  <c r="J355" i="2"/>
  <c r="K355" i="2"/>
  <c r="L355" i="2"/>
  <c r="M355" i="2"/>
  <c r="N355" i="2"/>
  <c r="O355" i="2"/>
  <c r="Q355" i="2"/>
  <c r="R355" i="2"/>
  <c r="S355" i="2"/>
  <c r="E356" i="2"/>
  <c r="F356" i="2"/>
  <c r="G356" i="2"/>
  <c r="H356" i="2"/>
  <c r="I356" i="2"/>
  <c r="J356" i="2"/>
  <c r="K356" i="2"/>
  <c r="L356" i="2"/>
  <c r="M356" i="2"/>
  <c r="N356" i="2"/>
  <c r="O356" i="2"/>
  <c r="Q356" i="2"/>
  <c r="R356" i="2"/>
  <c r="S356" i="2"/>
  <c r="E357" i="2"/>
  <c r="F357" i="2"/>
  <c r="G357" i="2"/>
  <c r="H357" i="2"/>
  <c r="I357" i="2"/>
  <c r="J357" i="2"/>
  <c r="K357" i="2"/>
  <c r="L357" i="2"/>
  <c r="M357" i="2"/>
  <c r="N357" i="2"/>
  <c r="O357" i="2"/>
  <c r="Q357" i="2"/>
  <c r="R357" i="2"/>
  <c r="S357" i="2"/>
  <c r="E358" i="2"/>
  <c r="F358" i="2"/>
  <c r="G358" i="2"/>
  <c r="H358" i="2"/>
  <c r="I358" i="2"/>
  <c r="J358" i="2"/>
  <c r="K358" i="2"/>
  <c r="L358" i="2"/>
  <c r="M358" i="2"/>
  <c r="N358" i="2"/>
  <c r="O358" i="2"/>
  <c r="Q358" i="2"/>
  <c r="R358" i="2"/>
  <c r="S358" i="2"/>
  <c r="E359" i="2"/>
  <c r="F359" i="2"/>
  <c r="G359" i="2"/>
  <c r="H359" i="2"/>
  <c r="I359" i="2"/>
  <c r="J359" i="2"/>
  <c r="K359" i="2"/>
  <c r="L359" i="2"/>
  <c r="M359" i="2"/>
  <c r="N359" i="2"/>
  <c r="O359" i="2"/>
  <c r="Q359" i="2"/>
  <c r="R359" i="2"/>
  <c r="S359" i="2"/>
  <c r="E360" i="2"/>
  <c r="F360" i="2"/>
  <c r="G360" i="2"/>
  <c r="H360" i="2"/>
  <c r="I360" i="2"/>
  <c r="J360" i="2"/>
  <c r="K360" i="2"/>
  <c r="L360" i="2"/>
  <c r="M360" i="2"/>
  <c r="N360" i="2"/>
  <c r="O360" i="2"/>
  <c r="Q360" i="2"/>
  <c r="R360" i="2"/>
  <c r="S360" i="2"/>
  <c r="E361" i="2"/>
  <c r="F361" i="2"/>
  <c r="G361" i="2"/>
  <c r="H361" i="2"/>
  <c r="I361" i="2"/>
  <c r="J361" i="2"/>
  <c r="K361" i="2"/>
  <c r="L361" i="2"/>
  <c r="M361" i="2"/>
  <c r="N361" i="2"/>
  <c r="O361" i="2"/>
  <c r="Q361" i="2"/>
  <c r="R361" i="2"/>
  <c r="S361" i="2"/>
  <c r="E362" i="2"/>
  <c r="F362" i="2"/>
  <c r="G362" i="2"/>
  <c r="H362" i="2"/>
  <c r="I362" i="2"/>
  <c r="J362" i="2"/>
  <c r="K362" i="2"/>
  <c r="L362" i="2"/>
  <c r="M362" i="2"/>
  <c r="N362" i="2"/>
  <c r="O362" i="2"/>
  <c r="Q362" i="2"/>
  <c r="R362" i="2"/>
  <c r="S362" i="2"/>
  <c r="E363" i="2"/>
  <c r="F363" i="2"/>
  <c r="G363" i="2"/>
  <c r="H363" i="2"/>
  <c r="I363" i="2"/>
  <c r="J363" i="2"/>
  <c r="K363" i="2"/>
  <c r="L363" i="2"/>
  <c r="M363" i="2"/>
  <c r="N363" i="2"/>
  <c r="O363" i="2"/>
  <c r="Q363" i="2"/>
  <c r="R363" i="2"/>
  <c r="S363" i="2"/>
  <c r="E364" i="2"/>
  <c r="F364" i="2"/>
  <c r="G364" i="2"/>
  <c r="H364" i="2"/>
  <c r="I364" i="2"/>
  <c r="J364" i="2"/>
  <c r="K364" i="2"/>
  <c r="L364" i="2"/>
  <c r="M364" i="2"/>
  <c r="N364" i="2"/>
  <c r="O364" i="2"/>
  <c r="Q364" i="2"/>
  <c r="R364" i="2"/>
  <c r="S364" i="2"/>
  <c r="E365" i="2"/>
  <c r="F365" i="2"/>
  <c r="G365" i="2"/>
  <c r="H365" i="2"/>
  <c r="I365" i="2"/>
  <c r="J365" i="2"/>
  <c r="K365" i="2"/>
  <c r="L365" i="2"/>
  <c r="M365" i="2"/>
  <c r="N365" i="2"/>
  <c r="O365" i="2"/>
  <c r="Q365" i="2"/>
  <c r="R365" i="2"/>
  <c r="S365" i="2"/>
  <c r="E366" i="2"/>
  <c r="F366" i="2"/>
  <c r="G366" i="2"/>
  <c r="H366" i="2"/>
  <c r="I366" i="2"/>
  <c r="J366" i="2"/>
  <c r="K366" i="2"/>
  <c r="L366" i="2"/>
  <c r="M366" i="2"/>
  <c r="N366" i="2"/>
  <c r="O366" i="2"/>
  <c r="Q366" i="2"/>
  <c r="R366" i="2"/>
  <c r="S366" i="2"/>
  <c r="E367" i="2"/>
  <c r="F367" i="2"/>
  <c r="G367" i="2"/>
  <c r="H367" i="2"/>
  <c r="I367" i="2"/>
  <c r="J367" i="2"/>
  <c r="K367" i="2"/>
  <c r="L367" i="2"/>
  <c r="M367" i="2"/>
  <c r="N367" i="2"/>
  <c r="O367" i="2"/>
  <c r="Q367" i="2"/>
  <c r="R367" i="2"/>
  <c r="S367" i="2"/>
  <c r="E368" i="2"/>
  <c r="F368" i="2"/>
  <c r="G368" i="2"/>
  <c r="H368" i="2"/>
  <c r="I368" i="2"/>
  <c r="J368" i="2"/>
  <c r="K368" i="2"/>
  <c r="L368" i="2"/>
  <c r="M368" i="2"/>
  <c r="N368" i="2"/>
  <c r="O368" i="2"/>
  <c r="Q368" i="2"/>
  <c r="R368" i="2"/>
  <c r="S368" i="2"/>
  <c r="E369" i="2"/>
  <c r="F369" i="2"/>
  <c r="G369" i="2"/>
  <c r="H369" i="2"/>
  <c r="I369" i="2"/>
  <c r="J369" i="2"/>
  <c r="K369" i="2"/>
  <c r="L369" i="2"/>
  <c r="M369" i="2"/>
  <c r="N369" i="2"/>
  <c r="O369" i="2"/>
  <c r="Q369" i="2"/>
  <c r="R369" i="2"/>
  <c r="S369" i="2"/>
  <c r="E370" i="2"/>
  <c r="F370" i="2"/>
  <c r="G370" i="2"/>
  <c r="H370" i="2"/>
  <c r="I370" i="2"/>
  <c r="J370" i="2"/>
  <c r="K370" i="2"/>
  <c r="L370" i="2"/>
  <c r="M370" i="2"/>
  <c r="N370" i="2"/>
  <c r="O370" i="2"/>
  <c r="Q370" i="2"/>
  <c r="R370" i="2"/>
  <c r="S370" i="2"/>
  <c r="E371" i="2"/>
  <c r="F371" i="2"/>
  <c r="G371" i="2"/>
  <c r="H371" i="2"/>
  <c r="I371" i="2"/>
  <c r="J371" i="2"/>
  <c r="K371" i="2"/>
  <c r="L371" i="2"/>
  <c r="M371" i="2"/>
  <c r="N371" i="2"/>
  <c r="O371" i="2"/>
  <c r="Q371" i="2"/>
  <c r="R371" i="2"/>
  <c r="S371" i="2"/>
  <c r="E372" i="2"/>
  <c r="F372" i="2"/>
  <c r="G372" i="2"/>
  <c r="H372" i="2"/>
  <c r="I372" i="2"/>
  <c r="J372" i="2"/>
  <c r="K372" i="2"/>
  <c r="L372" i="2"/>
  <c r="M372" i="2"/>
  <c r="N372" i="2"/>
  <c r="O372" i="2"/>
  <c r="Q372" i="2"/>
  <c r="R372" i="2"/>
  <c r="S372" i="2"/>
  <c r="E373" i="2"/>
  <c r="F373" i="2"/>
  <c r="G373" i="2"/>
  <c r="H373" i="2"/>
  <c r="I373" i="2"/>
  <c r="J373" i="2"/>
  <c r="K373" i="2"/>
  <c r="L373" i="2"/>
  <c r="M373" i="2"/>
  <c r="N373" i="2"/>
  <c r="O373" i="2"/>
  <c r="Q373" i="2"/>
  <c r="R373" i="2"/>
  <c r="S373" i="2"/>
  <c r="E374" i="2"/>
  <c r="F374" i="2"/>
  <c r="G374" i="2"/>
  <c r="H374" i="2"/>
  <c r="I374" i="2"/>
  <c r="J374" i="2"/>
  <c r="K374" i="2"/>
  <c r="L374" i="2"/>
  <c r="M374" i="2"/>
  <c r="N374" i="2"/>
  <c r="O374" i="2"/>
  <c r="Q374" i="2"/>
  <c r="R374" i="2"/>
  <c r="S374" i="2"/>
  <c r="E375" i="2"/>
  <c r="F375" i="2"/>
  <c r="G375" i="2"/>
  <c r="H375" i="2"/>
  <c r="I375" i="2"/>
  <c r="J375" i="2"/>
  <c r="K375" i="2"/>
  <c r="L375" i="2"/>
  <c r="M375" i="2"/>
  <c r="N375" i="2"/>
  <c r="O375" i="2"/>
  <c r="Q375" i="2"/>
  <c r="R375" i="2"/>
  <c r="S375" i="2"/>
  <c r="E376" i="2"/>
  <c r="F376" i="2"/>
  <c r="G376" i="2"/>
  <c r="H376" i="2"/>
  <c r="I376" i="2"/>
  <c r="J376" i="2"/>
  <c r="K376" i="2"/>
  <c r="L376" i="2"/>
  <c r="M376" i="2"/>
  <c r="N376" i="2"/>
  <c r="O376" i="2"/>
  <c r="Q376" i="2"/>
  <c r="R376" i="2"/>
  <c r="S376" i="2"/>
  <c r="E377" i="2"/>
  <c r="F377" i="2"/>
  <c r="G377" i="2"/>
  <c r="H377" i="2"/>
  <c r="I377" i="2"/>
  <c r="J377" i="2"/>
  <c r="K377" i="2"/>
  <c r="L377" i="2"/>
  <c r="M377" i="2"/>
  <c r="N377" i="2"/>
  <c r="O377" i="2"/>
  <c r="Q377" i="2"/>
  <c r="R377" i="2"/>
  <c r="S377" i="2"/>
  <c r="E378" i="2"/>
  <c r="F378" i="2"/>
  <c r="G378" i="2"/>
  <c r="H378" i="2"/>
  <c r="I378" i="2"/>
  <c r="J378" i="2"/>
  <c r="K378" i="2"/>
  <c r="L378" i="2"/>
  <c r="M378" i="2"/>
  <c r="N378" i="2"/>
  <c r="O378" i="2"/>
  <c r="Q378" i="2"/>
  <c r="R378" i="2"/>
  <c r="S378" i="2"/>
  <c r="E379" i="2"/>
  <c r="F379" i="2"/>
  <c r="G379" i="2"/>
  <c r="H379" i="2"/>
  <c r="I379" i="2"/>
  <c r="J379" i="2"/>
  <c r="K379" i="2"/>
  <c r="L379" i="2"/>
  <c r="M379" i="2"/>
  <c r="N379" i="2"/>
  <c r="O379" i="2"/>
  <c r="Q379" i="2"/>
  <c r="R379" i="2"/>
  <c r="S379" i="2"/>
  <c r="E380" i="2"/>
  <c r="F380" i="2"/>
  <c r="G380" i="2"/>
  <c r="H380" i="2"/>
  <c r="I380" i="2"/>
  <c r="J380" i="2"/>
  <c r="K380" i="2"/>
  <c r="L380" i="2"/>
  <c r="M380" i="2"/>
  <c r="N380" i="2"/>
  <c r="O380" i="2"/>
  <c r="Q380" i="2"/>
  <c r="R380" i="2"/>
  <c r="S380" i="2"/>
  <c r="E381" i="2"/>
  <c r="F381" i="2"/>
  <c r="G381" i="2"/>
  <c r="H381" i="2"/>
  <c r="I381" i="2"/>
  <c r="J381" i="2"/>
  <c r="K381" i="2"/>
  <c r="L381" i="2"/>
  <c r="M381" i="2"/>
  <c r="N381" i="2"/>
  <c r="O381" i="2"/>
  <c r="Q381" i="2"/>
  <c r="R381" i="2"/>
  <c r="S381" i="2"/>
  <c r="E382" i="2"/>
  <c r="F382" i="2"/>
  <c r="G382" i="2"/>
  <c r="H382" i="2"/>
  <c r="I382" i="2"/>
  <c r="J382" i="2"/>
  <c r="K382" i="2"/>
  <c r="L382" i="2"/>
  <c r="M382" i="2"/>
  <c r="N382" i="2"/>
  <c r="O382" i="2"/>
  <c r="Q382" i="2"/>
  <c r="R382" i="2"/>
  <c r="S382" i="2"/>
  <c r="E383" i="2"/>
  <c r="F383" i="2"/>
  <c r="G383" i="2"/>
  <c r="H383" i="2"/>
  <c r="I383" i="2"/>
  <c r="J383" i="2"/>
  <c r="K383" i="2"/>
  <c r="L383" i="2"/>
  <c r="M383" i="2"/>
  <c r="N383" i="2"/>
  <c r="O383" i="2"/>
  <c r="Q383" i="2"/>
  <c r="R383" i="2"/>
  <c r="S383" i="2"/>
  <c r="E384" i="2"/>
  <c r="F384" i="2"/>
  <c r="G384" i="2"/>
  <c r="H384" i="2"/>
  <c r="I384" i="2"/>
  <c r="J384" i="2"/>
  <c r="K384" i="2"/>
  <c r="L384" i="2"/>
  <c r="M384" i="2"/>
  <c r="N384" i="2"/>
  <c r="O384" i="2"/>
  <c r="Q384" i="2"/>
  <c r="R384" i="2"/>
  <c r="S384" i="2"/>
  <c r="E385" i="2"/>
  <c r="F385" i="2"/>
  <c r="G385" i="2"/>
  <c r="H385" i="2"/>
  <c r="I385" i="2"/>
  <c r="J385" i="2"/>
  <c r="K385" i="2"/>
  <c r="L385" i="2"/>
  <c r="M385" i="2"/>
  <c r="N385" i="2"/>
  <c r="O385" i="2"/>
  <c r="Q385" i="2"/>
  <c r="R385" i="2"/>
  <c r="S385" i="2"/>
  <c r="E386" i="2"/>
  <c r="F386" i="2"/>
  <c r="G386" i="2"/>
  <c r="H386" i="2"/>
  <c r="I386" i="2"/>
  <c r="J386" i="2"/>
  <c r="K386" i="2"/>
  <c r="L386" i="2"/>
  <c r="M386" i="2"/>
  <c r="N386" i="2"/>
  <c r="O386" i="2"/>
  <c r="Q386" i="2"/>
  <c r="R386" i="2"/>
  <c r="S386" i="2"/>
  <c r="E387" i="2"/>
  <c r="F387" i="2"/>
  <c r="G387" i="2"/>
  <c r="H387" i="2"/>
  <c r="I387" i="2"/>
  <c r="J387" i="2"/>
  <c r="K387" i="2"/>
  <c r="L387" i="2"/>
  <c r="M387" i="2"/>
  <c r="N387" i="2"/>
  <c r="O387" i="2"/>
  <c r="Q387" i="2"/>
  <c r="R387" i="2"/>
  <c r="S387" i="2"/>
  <c r="E388" i="2"/>
  <c r="F388" i="2"/>
  <c r="G388" i="2"/>
  <c r="H388" i="2"/>
  <c r="I388" i="2"/>
  <c r="J388" i="2"/>
  <c r="K388" i="2"/>
  <c r="L388" i="2"/>
  <c r="M388" i="2"/>
  <c r="N388" i="2"/>
  <c r="O388" i="2"/>
  <c r="Q388" i="2"/>
  <c r="R388" i="2"/>
  <c r="S388" i="2"/>
  <c r="E389" i="2"/>
  <c r="F389" i="2"/>
  <c r="G389" i="2"/>
  <c r="H389" i="2"/>
  <c r="I389" i="2"/>
  <c r="J389" i="2"/>
  <c r="K389" i="2"/>
  <c r="L389" i="2"/>
  <c r="M389" i="2"/>
  <c r="N389" i="2"/>
  <c r="O389" i="2"/>
  <c r="Q389" i="2"/>
  <c r="R389" i="2"/>
  <c r="S389" i="2"/>
  <c r="E390" i="2"/>
  <c r="F390" i="2"/>
  <c r="G390" i="2"/>
  <c r="H390" i="2"/>
  <c r="I390" i="2"/>
  <c r="J390" i="2"/>
  <c r="K390" i="2"/>
  <c r="L390" i="2"/>
  <c r="M390" i="2"/>
  <c r="N390" i="2"/>
  <c r="O390" i="2"/>
  <c r="Q390" i="2"/>
  <c r="R390" i="2"/>
  <c r="S390" i="2"/>
  <c r="E391" i="2"/>
  <c r="F391" i="2"/>
  <c r="G391" i="2"/>
  <c r="H391" i="2"/>
  <c r="I391" i="2"/>
  <c r="J391" i="2"/>
  <c r="K391" i="2"/>
  <c r="L391" i="2"/>
  <c r="M391" i="2"/>
  <c r="N391" i="2"/>
  <c r="O391" i="2"/>
  <c r="Q391" i="2"/>
  <c r="R391" i="2"/>
  <c r="S391" i="2"/>
  <c r="E392" i="2"/>
  <c r="F392" i="2"/>
  <c r="G392" i="2"/>
  <c r="H392" i="2"/>
  <c r="I392" i="2"/>
  <c r="J392" i="2"/>
  <c r="K392" i="2"/>
  <c r="L392" i="2"/>
  <c r="M392" i="2"/>
  <c r="N392" i="2"/>
  <c r="O392" i="2"/>
  <c r="Q392" i="2"/>
  <c r="R392" i="2"/>
  <c r="S392" i="2"/>
  <c r="E393" i="2"/>
  <c r="F393" i="2"/>
  <c r="G393" i="2"/>
  <c r="H393" i="2"/>
  <c r="I393" i="2"/>
  <c r="J393" i="2"/>
  <c r="K393" i="2"/>
  <c r="L393" i="2"/>
  <c r="M393" i="2"/>
  <c r="N393" i="2"/>
  <c r="O393" i="2"/>
  <c r="Q393" i="2"/>
  <c r="R393" i="2"/>
  <c r="S393" i="2"/>
  <c r="E394" i="2"/>
  <c r="F394" i="2"/>
  <c r="G394" i="2"/>
  <c r="H394" i="2"/>
  <c r="I394" i="2"/>
  <c r="J394" i="2"/>
  <c r="K394" i="2"/>
  <c r="L394" i="2"/>
  <c r="M394" i="2"/>
  <c r="N394" i="2"/>
  <c r="O394" i="2"/>
  <c r="Q394" i="2"/>
  <c r="R394" i="2"/>
  <c r="S394" i="2"/>
  <c r="E395" i="2"/>
  <c r="F395" i="2"/>
  <c r="G395" i="2"/>
  <c r="H395" i="2"/>
  <c r="I395" i="2"/>
  <c r="J395" i="2"/>
  <c r="K395" i="2"/>
  <c r="L395" i="2"/>
  <c r="M395" i="2"/>
  <c r="N395" i="2"/>
  <c r="O395" i="2"/>
  <c r="Q395" i="2"/>
  <c r="R395" i="2"/>
  <c r="S395" i="2"/>
  <c r="E396" i="2"/>
  <c r="F396" i="2"/>
  <c r="G396" i="2"/>
  <c r="H396" i="2"/>
  <c r="I396" i="2"/>
  <c r="J396" i="2"/>
  <c r="K396" i="2"/>
  <c r="L396" i="2"/>
  <c r="M396" i="2"/>
  <c r="N396" i="2"/>
  <c r="O396" i="2"/>
  <c r="Q396" i="2"/>
  <c r="R396" i="2"/>
  <c r="S396" i="2"/>
  <c r="E397" i="2"/>
  <c r="F397" i="2"/>
  <c r="G397" i="2"/>
  <c r="H397" i="2"/>
  <c r="I397" i="2"/>
  <c r="J397" i="2"/>
  <c r="K397" i="2"/>
  <c r="L397" i="2"/>
  <c r="M397" i="2"/>
  <c r="N397" i="2"/>
  <c r="O397" i="2"/>
  <c r="Q397" i="2"/>
  <c r="R397" i="2"/>
  <c r="S397" i="2"/>
  <c r="E398" i="2"/>
  <c r="F398" i="2"/>
  <c r="G398" i="2"/>
  <c r="H398" i="2"/>
  <c r="I398" i="2"/>
  <c r="J398" i="2"/>
  <c r="K398" i="2"/>
  <c r="L398" i="2"/>
  <c r="M398" i="2"/>
  <c r="N398" i="2"/>
  <c r="O398" i="2"/>
  <c r="Q398" i="2"/>
  <c r="R398" i="2"/>
  <c r="S398" i="2"/>
  <c r="E399" i="2"/>
  <c r="F399" i="2"/>
  <c r="G399" i="2"/>
  <c r="H399" i="2"/>
  <c r="I399" i="2"/>
  <c r="J399" i="2"/>
  <c r="K399" i="2"/>
  <c r="L399" i="2"/>
  <c r="M399" i="2"/>
  <c r="N399" i="2"/>
  <c r="O399" i="2"/>
  <c r="Q399" i="2"/>
  <c r="R399" i="2"/>
  <c r="S399" i="2"/>
  <c r="E400" i="2"/>
  <c r="F400" i="2"/>
  <c r="G400" i="2"/>
  <c r="H400" i="2"/>
  <c r="I400" i="2"/>
  <c r="J400" i="2"/>
  <c r="K400" i="2"/>
  <c r="L400" i="2"/>
  <c r="M400" i="2"/>
  <c r="N400" i="2"/>
  <c r="O400" i="2"/>
  <c r="Q400" i="2"/>
  <c r="R400" i="2"/>
  <c r="S400" i="2"/>
  <c r="E401" i="2"/>
  <c r="F401" i="2"/>
  <c r="G401" i="2"/>
  <c r="H401" i="2"/>
  <c r="I401" i="2"/>
  <c r="J401" i="2"/>
  <c r="K401" i="2"/>
  <c r="L401" i="2"/>
  <c r="M401" i="2"/>
  <c r="N401" i="2"/>
  <c r="O401" i="2"/>
  <c r="Q401" i="2"/>
  <c r="R401" i="2"/>
  <c r="S401" i="2"/>
  <c r="E402" i="2"/>
  <c r="F402" i="2"/>
  <c r="G402" i="2"/>
  <c r="H402" i="2"/>
  <c r="I402" i="2"/>
  <c r="J402" i="2"/>
  <c r="K402" i="2"/>
  <c r="L402" i="2"/>
  <c r="M402" i="2"/>
  <c r="N402" i="2"/>
  <c r="O402" i="2"/>
  <c r="Q402" i="2"/>
  <c r="R402" i="2"/>
  <c r="S402" i="2"/>
  <c r="E403" i="2"/>
  <c r="F403" i="2"/>
  <c r="G403" i="2"/>
  <c r="H403" i="2"/>
  <c r="I403" i="2"/>
  <c r="J403" i="2"/>
  <c r="K403" i="2"/>
  <c r="L403" i="2"/>
  <c r="M403" i="2"/>
  <c r="N403" i="2"/>
  <c r="O403" i="2"/>
  <c r="Q403" i="2"/>
  <c r="R403" i="2"/>
  <c r="S403" i="2"/>
  <c r="E404" i="2"/>
  <c r="F404" i="2"/>
  <c r="G404" i="2"/>
  <c r="H404" i="2"/>
  <c r="I404" i="2"/>
  <c r="J404" i="2"/>
  <c r="K404" i="2"/>
  <c r="L404" i="2"/>
  <c r="M404" i="2"/>
  <c r="N404" i="2"/>
  <c r="O404" i="2"/>
  <c r="Q404" i="2"/>
  <c r="R404" i="2"/>
  <c r="S404" i="2"/>
  <c r="E405" i="2"/>
  <c r="F405" i="2"/>
  <c r="G405" i="2"/>
  <c r="H405" i="2"/>
  <c r="I405" i="2"/>
  <c r="J405" i="2"/>
  <c r="K405" i="2"/>
  <c r="L405" i="2"/>
  <c r="M405" i="2"/>
  <c r="N405" i="2"/>
  <c r="O405" i="2"/>
  <c r="Q405" i="2"/>
  <c r="R405" i="2"/>
  <c r="S405" i="2"/>
  <c r="E406" i="2"/>
  <c r="F406" i="2"/>
  <c r="G406" i="2"/>
  <c r="H406" i="2"/>
  <c r="I406" i="2"/>
  <c r="J406" i="2"/>
  <c r="K406" i="2"/>
  <c r="L406" i="2"/>
  <c r="M406" i="2"/>
  <c r="N406" i="2"/>
  <c r="O406" i="2"/>
  <c r="Q406" i="2"/>
  <c r="R406" i="2"/>
  <c r="S406" i="2"/>
  <c r="E407" i="2"/>
  <c r="F407" i="2"/>
  <c r="G407" i="2"/>
  <c r="H407" i="2"/>
  <c r="I407" i="2"/>
  <c r="J407" i="2"/>
  <c r="K407" i="2"/>
  <c r="L407" i="2"/>
  <c r="M407" i="2"/>
  <c r="N407" i="2"/>
  <c r="O407" i="2"/>
  <c r="Q407" i="2"/>
  <c r="R407" i="2"/>
  <c r="S407" i="2"/>
  <c r="E408" i="2"/>
  <c r="F408" i="2"/>
  <c r="G408" i="2"/>
  <c r="H408" i="2"/>
  <c r="I408" i="2"/>
  <c r="J408" i="2"/>
  <c r="K408" i="2"/>
  <c r="L408" i="2"/>
  <c r="M408" i="2"/>
  <c r="N408" i="2"/>
  <c r="O408" i="2"/>
  <c r="Q408" i="2"/>
  <c r="R408" i="2"/>
  <c r="S408" i="2"/>
  <c r="E409" i="2"/>
  <c r="F409" i="2"/>
  <c r="G409" i="2"/>
  <c r="H409" i="2"/>
  <c r="I409" i="2"/>
  <c r="J409" i="2"/>
  <c r="K409" i="2"/>
  <c r="L409" i="2"/>
  <c r="M409" i="2"/>
  <c r="N409" i="2"/>
  <c r="O409" i="2"/>
  <c r="Q409" i="2"/>
  <c r="R409" i="2"/>
  <c r="S409" i="2"/>
  <c r="E410" i="2"/>
  <c r="F410" i="2"/>
  <c r="G410" i="2"/>
  <c r="H410" i="2"/>
  <c r="I410" i="2"/>
  <c r="J410" i="2"/>
  <c r="K410" i="2"/>
  <c r="L410" i="2"/>
  <c r="M410" i="2"/>
  <c r="N410" i="2"/>
  <c r="O410" i="2"/>
  <c r="Q410" i="2"/>
  <c r="R410" i="2"/>
  <c r="S410" i="2"/>
  <c r="E411" i="2"/>
  <c r="F411" i="2"/>
  <c r="G411" i="2"/>
  <c r="H411" i="2"/>
  <c r="I411" i="2"/>
  <c r="J411" i="2"/>
  <c r="K411" i="2"/>
  <c r="L411" i="2"/>
  <c r="M411" i="2"/>
  <c r="N411" i="2"/>
  <c r="O411" i="2"/>
  <c r="Q411" i="2"/>
  <c r="R411" i="2"/>
  <c r="S411" i="2"/>
  <c r="E412" i="2"/>
  <c r="F412" i="2"/>
  <c r="G412" i="2"/>
  <c r="H412" i="2"/>
  <c r="I412" i="2"/>
  <c r="J412" i="2"/>
  <c r="K412" i="2"/>
  <c r="L412" i="2"/>
  <c r="M412" i="2"/>
  <c r="N412" i="2"/>
  <c r="O412" i="2"/>
  <c r="Q412" i="2"/>
  <c r="R412" i="2"/>
  <c r="S412" i="2"/>
  <c r="E413" i="2"/>
  <c r="F413" i="2"/>
  <c r="G413" i="2"/>
  <c r="H413" i="2"/>
  <c r="I413" i="2"/>
  <c r="J413" i="2"/>
  <c r="K413" i="2"/>
  <c r="L413" i="2"/>
  <c r="M413" i="2"/>
  <c r="N413" i="2"/>
  <c r="O413" i="2"/>
  <c r="Q413" i="2"/>
  <c r="R413" i="2"/>
  <c r="S413" i="2"/>
  <c r="E414" i="2"/>
  <c r="F414" i="2"/>
  <c r="G414" i="2"/>
  <c r="H414" i="2"/>
  <c r="I414" i="2"/>
  <c r="J414" i="2"/>
  <c r="K414" i="2"/>
  <c r="L414" i="2"/>
  <c r="M414" i="2"/>
  <c r="N414" i="2"/>
  <c r="O414" i="2"/>
  <c r="Q414" i="2"/>
  <c r="R414" i="2"/>
  <c r="S414" i="2"/>
  <c r="E415" i="2"/>
  <c r="F415" i="2"/>
  <c r="G415" i="2"/>
  <c r="H415" i="2"/>
  <c r="I415" i="2"/>
  <c r="J415" i="2"/>
  <c r="K415" i="2"/>
  <c r="L415" i="2"/>
  <c r="M415" i="2"/>
  <c r="N415" i="2"/>
  <c r="O415" i="2"/>
  <c r="Q415" i="2"/>
  <c r="R415" i="2"/>
  <c r="S415" i="2"/>
  <c r="E416" i="2"/>
  <c r="F416" i="2"/>
  <c r="G416" i="2"/>
  <c r="H416" i="2"/>
  <c r="I416" i="2"/>
  <c r="J416" i="2"/>
  <c r="K416" i="2"/>
  <c r="L416" i="2"/>
  <c r="M416" i="2"/>
  <c r="N416" i="2"/>
  <c r="O416" i="2"/>
  <c r="Q416" i="2"/>
  <c r="R416" i="2"/>
  <c r="S416" i="2"/>
  <c r="E417" i="2"/>
  <c r="F417" i="2"/>
  <c r="G417" i="2"/>
  <c r="H417" i="2"/>
  <c r="I417" i="2"/>
  <c r="J417" i="2"/>
  <c r="K417" i="2"/>
  <c r="L417" i="2"/>
  <c r="M417" i="2"/>
  <c r="N417" i="2"/>
  <c r="O417" i="2"/>
  <c r="Q417" i="2"/>
  <c r="R417" i="2"/>
  <c r="S417" i="2"/>
  <c r="E418" i="2"/>
  <c r="F418" i="2"/>
  <c r="G418" i="2"/>
  <c r="H418" i="2"/>
  <c r="I418" i="2"/>
  <c r="J418" i="2"/>
  <c r="K418" i="2"/>
  <c r="L418" i="2"/>
  <c r="M418" i="2"/>
  <c r="N418" i="2"/>
  <c r="O418" i="2"/>
  <c r="Q418" i="2"/>
  <c r="R418" i="2"/>
  <c r="S418" i="2"/>
  <c r="E419" i="2"/>
  <c r="F419" i="2"/>
  <c r="G419" i="2"/>
  <c r="H419" i="2"/>
  <c r="I419" i="2"/>
  <c r="J419" i="2"/>
  <c r="K419" i="2"/>
  <c r="L419" i="2"/>
  <c r="M419" i="2"/>
  <c r="N419" i="2"/>
  <c r="O419" i="2"/>
  <c r="Q419" i="2"/>
  <c r="R419" i="2"/>
  <c r="S419" i="2"/>
  <c r="E420" i="2"/>
  <c r="F420" i="2"/>
  <c r="G420" i="2"/>
  <c r="H420" i="2"/>
  <c r="I420" i="2"/>
  <c r="J420" i="2"/>
  <c r="K420" i="2"/>
  <c r="L420" i="2"/>
  <c r="M420" i="2"/>
  <c r="N420" i="2"/>
  <c r="O420" i="2"/>
  <c r="Q420" i="2"/>
  <c r="R420" i="2"/>
  <c r="S420" i="2"/>
  <c r="E421" i="2"/>
  <c r="F421" i="2"/>
  <c r="G421" i="2"/>
  <c r="H421" i="2"/>
  <c r="I421" i="2"/>
  <c r="J421" i="2"/>
  <c r="K421" i="2"/>
  <c r="L421" i="2"/>
  <c r="M421" i="2"/>
  <c r="N421" i="2"/>
  <c r="O421" i="2"/>
  <c r="Q421" i="2"/>
  <c r="R421" i="2"/>
  <c r="S421" i="2"/>
  <c r="E422" i="2"/>
  <c r="F422" i="2"/>
  <c r="G422" i="2"/>
  <c r="H422" i="2"/>
  <c r="I422" i="2"/>
  <c r="J422" i="2"/>
  <c r="K422" i="2"/>
  <c r="L422" i="2"/>
  <c r="M422" i="2"/>
  <c r="N422" i="2"/>
  <c r="O422" i="2"/>
  <c r="Q422" i="2"/>
  <c r="R422" i="2"/>
  <c r="S422" i="2"/>
  <c r="E423" i="2"/>
  <c r="F423" i="2"/>
  <c r="G423" i="2"/>
  <c r="H423" i="2"/>
  <c r="I423" i="2"/>
  <c r="J423" i="2"/>
  <c r="K423" i="2"/>
  <c r="L423" i="2"/>
  <c r="M423" i="2"/>
  <c r="N423" i="2"/>
  <c r="O423" i="2"/>
  <c r="Q423" i="2"/>
  <c r="R423" i="2"/>
  <c r="S423" i="2"/>
  <c r="E424" i="2"/>
  <c r="F424" i="2"/>
  <c r="G424" i="2"/>
  <c r="H424" i="2"/>
  <c r="I424" i="2"/>
  <c r="J424" i="2"/>
  <c r="K424" i="2"/>
  <c r="L424" i="2"/>
  <c r="M424" i="2"/>
  <c r="N424" i="2"/>
  <c r="O424" i="2"/>
  <c r="Q424" i="2"/>
  <c r="R424" i="2"/>
  <c r="S424" i="2"/>
  <c r="E425" i="2"/>
  <c r="F425" i="2"/>
  <c r="G425" i="2"/>
  <c r="H425" i="2"/>
  <c r="I425" i="2"/>
  <c r="J425" i="2"/>
  <c r="K425" i="2"/>
  <c r="L425" i="2"/>
  <c r="M425" i="2"/>
  <c r="N425" i="2"/>
  <c r="O425" i="2"/>
  <c r="Q425" i="2"/>
  <c r="R425" i="2"/>
  <c r="S425" i="2"/>
  <c r="E426" i="2"/>
  <c r="F426" i="2"/>
  <c r="G426" i="2"/>
  <c r="H426" i="2"/>
  <c r="I426" i="2"/>
  <c r="J426" i="2"/>
  <c r="K426" i="2"/>
  <c r="L426" i="2"/>
  <c r="M426" i="2"/>
  <c r="N426" i="2"/>
  <c r="O426" i="2"/>
  <c r="Q426" i="2"/>
  <c r="R426" i="2"/>
  <c r="S426" i="2"/>
  <c r="E427" i="2"/>
  <c r="F427" i="2"/>
  <c r="G427" i="2"/>
  <c r="H427" i="2"/>
  <c r="I427" i="2"/>
  <c r="J427" i="2"/>
  <c r="K427" i="2"/>
  <c r="L427" i="2"/>
  <c r="M427" i="2"/>
  <c r="N427" i="2"/>
  <c r="O427" i="2"/>
  <c r="Q427" i="2"/>
  <c r="R427" i="2"/>
  <c r="S427" i="2"/>
  <c r="E428" i="2"/>
  <c r="F428" i="2"/>
  <c r="G428" i="2"/>
  <c r="H428" i="2"/>
  <c r="I428" i="2"/>
  <c r="J428" i="2"/>
  <c r="K428" i="2"/>
  <c r="L428" i="2"/>
  <c r="M428" i="2"/>
  <c r="N428" i="2"/>
  <c r="O428" i="2"/>
  <c r="Q428" i="2"/>
  <c r="R428" i="2"/>
  <c r="S428" i="2"/>
  <c r="E429" i="2"/>
  <c r="F429" i="2"/>
  <c r="G429" i="2"/>
  <c r="H429" i="2"/>
  <c r="I429" i="2"/>
  <c r="J429" i="2"/>
  <c r="K429" i="2"/>
  <c r="L429" i="2"/>
  <c r="M429" i="2"/>
  <c r="N429" i="2"/>
  <c r="O429" i="2"/>
  <c r="Q429" i="2"/>
  <c r="R429" i="2"/>
  <c r="S429" i="2"/>
  <c r="E430" i="2"/>
  <c r="F430" i="2"/>
  <c r="G430" i="2"/>
  <c r="H430" i="2"/>
  <c r="I430" i="2"/>
  <c r="J430" i="2"/>
  <c r="K430" i="2"/>
  <c r="L430" i="2"/>
  <c r="M430" i="2"/>
  <c r="N430" i="2"/>
  <c r="O430" i="2"/>
  <c r="Q430" i="2"/>
  <c r="R430" i="2"/>
  <c r="S430" i="2"/>
  <c r="E431" i="2"/>
  <c r="F431" i="2"/>
  <c r="G431" i="2"/>
  <c r="H431" i="2"/>
  <c r="I431" i="2"/>
  <c r="J431" i="2"/>
  <c r="K431" i="2"/>
  <c r="L431" i="2"/>
  <c r="M431" i="2"/>
  <c r="N431" i="2"/>
  <c r="O431" i="2"/>
  <c r="Q431" i="2"/>
  <c r="R431" i="2"/>
  <c r="S431" i="2"/>
  <c r="E432" i="2"/>
  <c r="F432" i="2"/>
  <c r="G432" i="2"/>
  <c r="H432" i="2"/>
  <c r="I432" i="2"/>
  <c r="J432" i="2"/>
  <c r="K432" i="2"/>
  <c r="L432" i="2"/>
  <c r="M432" i="2"/>
  <c r="N432" i="2"/>
  <c r="O432" i="2"/>
  <c r="Q432" i="2"/>
  <c r="R432" i="2"/>
  <c r="S432" i="2"/>
  <c r="E433" i="2"/>
  <c r="F433" i="2"/>
  <c r="G433" i="2"/>
  <c r="H433" i="2"/>
  <c r="I433" i="2"/>
  <c r="J433" i="2"/>
  <c r="K433" i="2"/>
  <c r="L433" i="2"/>
  <c r="M433" i="2"/>
  <c r="N433" i="2"/>
  <c r="O433" i="2"/>
  <c r="Q433" i="2"/>
  <c r="R433" i="2"/>
  <c r="S433" i="2"/>
  <c r="E434" i="2"/>
  <c r="F434" i="2"/>
  <c r="G434" i="2"/>
  <c r="H434" i="2"/>
  <c r="I434" i="2"/>
  <c r="J434" i="2"/>
  <c r="K434" i="2"/>
  <c r="L434" i="2"/>
  <c r="M434" i="2"/>
  <c r="N434" i="2"/>
  <c r="O434" i="2"/>
  <c r="Q434" i="2"/>
  <c r="R434" i="2"/>
  <c r="S434" i="2"/>
  <c r="E435" i="2"/>
  <c r="F435" i="2"/>
  <c r="G435" i="2"/>
  <c r="H435" i="2"/>
  <c r="I435" i="2"/>
  <c r="J435" i="2"/>
  <c r="K435" i="2"/>
  <c r="L435" i="2"/>
  <c r="M435" i="2"/>
  <c r="N435" i="2"/>
  <c r="O435" i="2"/>
  <c r="Q435" i="2"/>
  <c r="R435" i="2"/>
  <c r="S435" i="2"/>
  <c r="E436" i="2"/>
  <c r="F436" i="2"/>
  <c r="G436" i="2"/>
  <c r="H436" i="2"/>
  <c r="I436" i="2"/>
  <c r="J436" i="2"/>
  <c r="K436" i="2"/>
  <c r="L436" i="2"/>
  <c r="M436" i="2"/>
  <c r="N436" i="2"/>
  <c r="O436" i="2"/>
  <c r="Q436" i="2"/>
  <c r="R436" i="2"/>
  <c r="S436" i="2"/>
  <c r="E437" i="2"/>
  <c r="F437" i="2"/>
  <c r="G437" i="2"/>
  <c r="H437" i="2"/>
  <c r="I437" i="2"/>
  <c r="J437" i="2"/>
  <c r="K437" i="2"/>
  <c r="L437" i="2"/>
  <c r="M437" i="2"/>
  <c r="N437" i="2"/>
  <c r="O437" i="2"/>
  <c r="Q437" i="2"/>
  <c r="R437" i="2"/>
  <c r="S437" i="2"/>
  <c r="E438" i="2"/>
  <c r="F438" i="2"/>
  <c r="G438" i="2"/>
  <c r="H438" i="2"/>
  <c r="I438" i="2"/>
  <c r="J438" i="2"/>
  <c r="K438" i="2"/>
  <c r="L438" i="2"/>
  <c r="M438" i="2"/>
  <c r="N438" i="2"/>
  <c r="O438" i="2"/>
  <c r="Q438" i="2"/>
  <c r="R438" i="2"/>
  <c r="S438" i="2"/>
  <c r="E439" i="2"/>
  <c r="F439" i="2"/>
  <c r="G439" i="2"/>
  <c r="H439" i="2"/>
  <c r="I439" i="2"/>
  <c r="J439" i="2"/>
  <c r="K439" i="2"/>
  <c r="L439" i="2"/>
  <c r="M439" i="2"/>
  <c r="N439" i="2"/>
  <c r="O439" i="2"/>
  <c r="Q439" i="2"/>
  <c r="R439" i="2"/>
  <c r="S439" i="2"/>
  <c r="E440" i="2"/>
  <c r="F440" i="2"/>
  <c r="G440" i="2"/>
  <c r="H440" i="2"/>
  <c r="I440" i="2"/>
  <c r="J440" i="2"/>
  <c r="K440" i="2"/>
  <c r="L440" i="2"/>
  <c r="M440" i="2"/>
  <c r="N440" i="2"/>
  <c r="O440" i="2"/>
  <c r="Q440" i="2"/>
  <c r="R440" i="2"/>
  <c r="S440" i="2"/>
  <c r="E441" i="2"/>
  <c r="F441" i="2"/>
  <c r="G441" i="2"/>
  <c r="H441" i="2"/>
  <c r="I441" i="2"/>
  <c r="J441" i="2"/>
  <c r="K441" i="2"/>
  <c r="L441" i="2"/>
  <c r="M441" i="2"/>
  <c r="N441" i="2"/>
  <c r="O441" i="2"/>
  <c r="Q441" i="2"/>
  <c r="R441" i="2"/>
  <c r="S441" i="2"/>
  <c r="E442" i="2"/>
  <c r="F442" i="2"/>
  <c r="G442" i="2"/>
  <c r="H442" i="2"/>
  <c r="I442" i="2"/>
  <c r="J442" i="2"/>
  <c r="K442" i="2"/>
  <c r="L442" i="2"/>
  <c r="M442" i="2"/>
  <c r="N442" i="2"/>
  <c r="O442" i="2"/>
  <c r="Q442" i="2"/>
  <c r="R442" i="2"/>
  <c r="S442" i="2"/>
  <c r="E443" i="2"/>
  <c r="F443" i="2"/>
  <c r="G443" i="2"/>
  <c r="H443" i="2"/>
  <c r="I443" i="2"/>
  <c r="J443" i="2"/>
  <c r="K443" i="2"/>
  <c r="L443" i="2"/>
  <c r="M443" i="2"/>
  <c r="N443" i="2"/>
  <c r="O443" i="2"/>
  <c r="Q443" i="2"/>
  <c r="R443" i="2"/>
  <c r="S443" i="2"/>
  <c r="E444" i="2"/>
  <c r="F444" i="2"/>
  <c r="G444" i="2"/>
  <c r="H444" i="2"/>
  <c r="I444" i="2"/>
  <c r="J444" i="2"/>
  <c r="K444" i="2"/>
  <c r="L444" i="2"/>
  <c r="M444" i="2"/>
  <c r="N444" i="2"/>
  <c r="O444" i="2"/>
  <c r="Q444" i="2"/>
  <c r="R444" i="2"/>
  <c r="S444" i="2"/>
  <c r="E445" i="2"/>
  <c r="F445" i="2"/>
  <c r="G445" i="2"/>
  <c r="H445" i="2"/>
  <c r="I445" i="2"/>
  <c r="J445" i="2"/>
  <c r="K445" i="2"/>
  <c r="L445" i="2"/>
  <c r="M445" i="2"/>
  <c r="N445" i="2"/>
  <c r="O445" i="2"/>
  <c r="Q445" i="2"/>
  <c r="R445" i="2"/>
  <c r="S445" i="2"/>
  <c r="E446" i="2"/>
  <c r="F446" i="2"/>
  <c r="G446" i="2"/>
  <c r="H446" i="2"/>
  <c r="I446" i="2"/>
  <c r="J446" i="2"/>
  <c r="K446" i="2"/>
  <c r="L446" i="2"/>
  <c r="M446" i="2"/>
  <c r="N446" i="2"/>
  <c r="O446" i="2"/>
  <c r="Q446" i="2"/>
  <c r="R446" i="2"/>
  <c r="S446" i="2"/>
  <c r="E447" i="2"/>
  <c r="F447" i="2"/>
  <c r="G447" i="2"/>
  <c r="H447" i="2"/>
  <c r="I447" i="2"/>
  <c r="J447" i="2"/>
  <c r="K447" i="2"/>
  <c r="L447" i="2"/>
  <c r="M447" i="2"/>
  <c r="N447" i="2"/>
  <c r="O447" i="2"/>
  <c r="Q447" i="2"/>
  <c r="R447" i="2"/>
  <c r="S447" i="2"/>
  <c r="E448" i="2"/>
  <c r="F448" i="2"/>
  <c r="G448" i="2"/>
  <c r="H448" i="2"/>
  <c r="I448" i="2"/>
  <c r="J448" i="2"/>
  <c r="K448" i="2"/>
  <c r="L448" i="2"/>
  <c r="M448" i="2"/>
  <c r="N448" i="2"/>
  <c r="O448" i="2"/>
  <c r="Q448" i="2"/>
  <c r="R448" i="2"/>
  <c r="S448" i="2"/>
  <c r="E449" i="2"/>
  <c r="F449" i="2"/>
  <c r="G449" i="2"/>
  <c r="H449" i="2"/>
  <c r="I449" i="2"/>
  <c r="J449" i="2"/>
  <c r="K449" i="2"/>
  <c r="L449" i="2"/>
  <c r="M449" i="2"/>
  <c r="N449" i="2"/>
  <c r="O449" i="2"/>
  <c r="Q449" i="2"/>
  <c r="R449" i="2"/>
  <c r="S449" i="2"/>
  <c r="E450" i="2"/>
  <c r="F450" i="2"/>
  <c r="G450" i="2"/>
  <c r="H450" i="2"/>
  <c r="I450" i="2"/>
  <c r="J450" i="2"/>
  <c r="K450" i="2"/>
  <c r="L450" i="2"/>
  <c r="M450" i="2"/>
  <c r="N450" i="2"/>
  <c r="O450" i="2"/>
  <c r="Q450" i="2"/>
  <c r="R450" i="2"/>
  <c r="S450" i="2"/>
  <c r="E451" i="2"/>
  <c r="F451" i="2"/>
  <c r="G451" i="2"/>
  <c r="H451" i="2"/>
  <c r="I451" i="2"/>
  <c r="J451" i="2"/>
  <c r="K451" i="2"/>
  <c r="L451" i="2"/>
  <c r="M451" i="2"/>
  <c r="N451" i="2"/>
  <c r="O451" i="2"/>
  <c r="Q451" i="2"/>
  <c r="R451" i="2"/>
  <c r="S451" i="2"/>
  <c r="E452" i="2"/>
  <c r="F452" i="2"/>
  <c r="G452" i="2"/>
  <c r="H452" i="2"/>
  <c r="I452" i="2"/>
  <c r="J452" i="2"/>
  <c r="K452" i="2"/>
  <c r="L452" i="2"/>
  <c r="M452" i="2"/>
  <c r="N452" i="2"/>
  <c r="O452" i="2"/>
  <c r="Q452" i="2"/>
  <c r="R452" i="2"/>
  <c r="S452" i="2"/>
  <c r="E453" i="2"/>
  <c r="F453" i="2"/>
  <c r="G453" i="2"/>
  <c r="H453" i="2"/>
  <c r="I453" i="2"/>
  <c r="J453" i="2"/>
  <c r="K453" i="2"/>
  <c r="L453" i="2"/>
  <c r="M453" i="2"/>
  <c r="N453" i="2"/>
  <c r="O453" i="2"/>
  <c r="Q453" i="2"/>
  <c r="R453" i="2"/>
  <c r="S453" i="2"/>
  <c r="E454" i="2"/>
  <c r="F454" i="2"/>
  <c r="G454" i="2"/>
  <c r="H454" i="2"/>
  <c r="I454" i="2"/>
  <c r="J454" i="2"/>
  <c r="K454" i="2"/>
  <c r="L454" i="2"/>
  <c r="M454" i="2"/>
  <c r="N454" i="2"/>
  <c r="O454" i="2"/>
  <c r="Q454" i="2"/>
  <c r="R454" i="2"/>
  <c r="S454" i="2"/>
  <c r="E455" i="2"/>
  <c r="F455" i="2"/>
  <c r="G455" i="2"/>
  <c r="H455" i="2"/>
  <c r="I455" i="2"/>
  <c r="J455" i="2"/>
  <c r="K455" i="2"/>
  <c r="L455" i="2"/>
  <c r="M455" i="2"/>
  <c r="N455" i="2"/>
  <c r="O455" i="2"/>
  <c r="Q455" i="2"/>
  <c r="R455" i="2"/>
  <c r="S455" i="2"/>
  <c r="E456" i="2"/>
  <c r="F456" i="2"/>
  <c r="G456" i="2"/>
  <c r="H456" i="2"/>
  <c r="I456" i="2"/>
  <c r="J456" i="2"/>
  <c r="K456" i="2"/>
  <c r="L456" i="2"/>
  <c r="M456" i="2"/>
  <c r="N456" i="2"/>
  <c r="O456" i="2"/>
  <c r="Q456" i="2"/>
  <c r="R456" i="2"/>
  <c r="S456" i="2"/>
  <c r="E457" i="2"/>
  <c r="F457" i="2"/>
  <c r="G457" i="2"/>
  <c r="H457" i="2"/>
  <c r="I457" i="2"/>
  <c r="J457" i="2"/>
  <c r="K457" i="2"/>
  <c r="L457" i="2"/>
  <c r="M457" i="2"/>
  <c r="N457" i="2"/>
  <c r="O457" i="2"/>
  <c r="Q457" i="2"/>
  <c r="R457" i="2"/>
  <c r="S457" i="2"/>
  <c r="E458" i="2"/>
  <c r="F458" i="2"/>
  <c r="G458" i="2"/>
  <c r="H458" i="2"/>
  <c r="I458" i="2"/>
  <c r="J458" i="2"/>
  <c r="K458" i="2"/>
  <c r="L458" i="2"/>
  <c r="M458" i="2"/>
  <c r="N458" i="2"/>
  <c r="O458" i="2"/>
  <c r="Q458" i="2"/>
  <c r="R458" i="2"/>
  <c r="S458" i="2"/>
  <c r="E459" i="2"/>
  <c r="F459" i="2"/>
  <c r="G459" i="2"/>
  <c r="H459" i="2"/>
  <c r="I459" i="2"/>
  <c r="J459" i="2"/>
  <c r="K459" i="2"/>
  <c r="L459" i="2"/>
  <c r="M459" i="2"/>
  <c r="N459" i="2"/>
  <c r="O459" i="2"/>
  <c r="Q459" i="2"/>
  <c r="R459" i="2"/>
  <c r="S459" i="2"/>
  <c r="E460" i="2"/>
  <c r="F460" i="2"/>
  <c r="G460" i="2"/>
  <c r="H460" i="2"/>
  <c r="I460" i="2"/>
  <c r="J460" i="2"/>
  <c r="K460" i="2"/>
  <c r="L460" i="2"/>
  <c r="M460" i="2"/>
  <c r="N460" i="2"/>
  <c r="O460" i="2"/>
  <c r="Q460" i="2"/>
  <c r="R460" i="2"/>
  <c r="S460" i="2"/>
  <c r="E461" i="2"/>
  <c r="F461" i="2"/>
  <c r="G461" i="2"/>
  <c r="H461" i="2"/>
  <c r="I461" i="2"/>
  <c r="J461" i="2"/>
  <c r="K461" i="2"/>
  <c r="L461" i="2"/>
  <c r="M461" i="2"/>
  <c r="N461" i="2"/>
  <c r="O461" i="2"/>
  <c r="Q461" i="2"/>
  <c r="R461" i="2"/>
  <c r="S461" i="2"/>
  <c r="E462" i="2"/>
  <c r="F462" i="2"/>
  <c r="G462" i="2"/>
  <c r="H462" i="2"/>
  <c r="I462" i="2"/>
  <c r="J462" i="2"/>
  <c r="K462" i="2"/>
  <c r="L462" i="2"/>
  <c r="M462" i="2"/>
  <c r="N462" i="2"/>
  <c r="O462" i="2"/>
  <c r="Q462" i="2"/>
  <c r="R462" i="2"/>
  <c r="S462" i="2"/>
  <c r="E463" i="2"/>
  <c r="F463" i="2"/>
  <c r="G463" i="2"/>
  <c r="H463" i="2"/>
  <c r="I463" i="2"/>
  <c r="J463" i="2"/>
  <c r="K463" i="2"/>
  <c r="L463" i="2"/>
  <c r="M463" i="2"/>
  <c r="N463" i="2"/>
  <c r="O463" i="2"/>
  <c r="Q463" i="2"/>
  <c r="R463" i="2"/>
  <c r="S463" i="2"/>
  <c r="E464" i="2"/>
  <c r="F464" i="2"/>
  <c r="G464" i="2"/>
  <c r="H464" i="2"/>
  <c r="I464" i="2"/>
  <c r="J464" i="2"/>
  <c r="K464" i="2"/>
  <c r="L464" i="2"/>
  <c r="M464" i="2"/>
  <c r="N464" i="2"/>
  <c r="O464" i="2"/>
  <c r="Q464" i="2"/>
  <c r="R464" i="2"/>
  <c r="S464" i="2"/>
  <c r="E465" i="2"/>
  <c r="F465" i="2"/>
  <c r="G465" i="2"/>
  <c r="H465" i="2"/>
  <c r="I465" i="2"/>
  <c r="J465" i="2"/>
  <c r="K465" i="2"/>
  <c r="L465" i="2"/>
  <c r="M465" i="2"/>
  <c r="N465" i="2"/>
  <c r="O465" i="2"/>
  <c r="Q465" i="2"/>
  <c r="R465" i="2"/>
  <c r="S465" i="2"/>
  <c r="E466" i="2"/>
  <c r="F466" i="2"/>
  <c r="G466" i="2"/>
  <c r="H466" i="2"/>
  <c r="I466" i="2"/>
  <c r="J466" i="2"/>
  <c r="K466" i="2"/>
  <c r="L466" i="2"/>
  <c r="M466" i="2"/>
  <c r="N466" i="2"/>
  <c r="O466" i="2"/>
  <c r="Q466" i="2"/>
  <c r="R466" i="2"/>
  <c r="S466" i="2"/>
  <c r="E467" i="2"/>
  <c r="F467" i="2"/>
  <c r="G467" i="2"/>
  <c r="H467" i="2"/>
  <c r="I467" i="2"/>
  <c r="J467" i="2"/>
  <c r="K467" i="2"/>
  <c r="L467" i="2"/>
  <c r="M467" i="2"/>
  <c r="N467" i="2"/>
  <c r="O467" i="2"/>
  <c r="Q467" i="2"/>
  <c r="R467" i="2"/>
  <c r="S467" i="2"/>
  <c r="E468" i="2"/>
  <c r="F468" i="2"/>
  <c r="G468" i="2"/>
  <c r="H468" i="2"/>
  <c r="I468" i="2"/>
  <c r="J468" i="2"/>
  <c r="K468" i="2"/>
  <c r="L468" i="2"/>
  <c r="M468" i="2"/>
  <c r="N468" i="2"/>
  <c r="O468" i="2"/>
  <c r="Q468" i="2"/>
  <c r="R468" i="2"/>
  <c r="S468" i="2"/>
  <c r="E469" i="2"/>
  <c r="F469" i="2"/>
  <c r="G469" i="2"/>
  <c r="H469" i="2"/>
  <c r="I469" i="2"/>
  <c r="J469" i="2"/>
  <c r="K469" i="2"/>
  <c r="L469" i="2"/>
  <c r="M469" i="2"/>
  <c r="N469" i="2"/>
  <c r="O469" i="2"/>
  <c r="Q469" i="2"/>
  <c r="R469" i="2"/>
  <c r="S469" i="2"/>
  <c r="E470" i="2"/>
  <c r="F470" i="2"/>
  <c r="G470" i="2"/>
  <c r="H470" i="2"/>
  <c r="I470" i="2"/>
  <c r="J470" i="2"/>
  <c r="K470" i="2"/>
  <c r="L470" i="2"/>
  <c r="M470" i="2"/>
  <c r="N470" i="2"/>
  <c r="O470" i="2"/>
  <c r="Q470" i="2"/>
  <c r="R470" i="2"/>
  <c r="S470" i="2"/>
  <c r="E471" i="2"/>
  <c r="F471" i="2"/>
  <c r="G471" i="2"/>
  <c r="H471" i="2"/>
  <c r="I471" i="2"/>
  <c r="J471" i="2"/>
  <c r="K471" i="2"/>
  <c r="L471" i="2"/>
  <c r="M471" i="2"/>
  <c r="N471" i="2"/>
  <c r="O471" i="2"/>
  <c r="Q471" i="2"/>
  <c r="R471" i="2"/>
  <c r="S471" i="2"/>
  <c r="E472" i="2"/>
  <c r="F472" i="2"/>
  <c r="G472" i="2"/>
  <c r="H472" i="2"/>
  <c r="I472" i="2"/>
  <c r="J472" i="2"/>
  <c r="K472" i="2"/>
  <c r="L472" i="2"/>
  <c r="M472" i="2"/>
  <c r="N472" i="2"/>
  <c r="O472" i="2"/>
  <c r="Q472" i="2"/>
  <c r="R472" i="2"/>
  <c r="S472" i="2"/>
  <c r="E473" i="2"/>
  <c r="F473" i="2"/>
  <c r="G473" i="2"/>
  <c r="H473" i="2"/>
  <c r="I473" i="2"/>
  <c r="J473" i="2"/>
  <c r="K473" i="2"/>
  <c r="L473" i="2"/>
  <c r="M473" i="2"/>
  <c r="N473" i="2"/>
  <c r="O473" i="2"/>
  <c r="Q473" i="2"/>
  <c r="R473" i="2"/>
  <c r="S473" i="2"/>
  <c r="E474" i="2"/>
  <c r="F474" i="2"/>
  <c r="G474" i="2"/>
  <c r="H474" i="2"/>
  <c r="I474" i="2"/>
  <c r="J474" i="2"/>
  <c r="K474" i="2"/>
  <c r="L474" i="2"/>
  <c r="M474" i="2"/>
  <c r="N474" i="2"/>
  <c r="O474" i="2"/>
  <c r="Q474" i="2"/>
  <c r="R474" i="2"/>
  <c r="S474" i="2"/>
  <c r="E475" i="2"/>
  <c r="F475" i="2"/>
  <c r="G475" i="2"/>
  <c r="H475" i="2"/>
  <c r="I475" i="2"/>
  <c r="J475" i="2"/>
  <c r="K475" i="2"/>
  <c r="L475" i="2"/>
  <c r="M475" i="2"/>
  <c r="N475" i="2"/>
  <c r="O475" i="2"/>
  <c r="Q475" i="2"/>
  <c r="R475" i="2"/>
  <c r="S475" i="2"/>
  <c r="E476" i="2"/>
  <c r="F476" i="2"/>
  <c r="G476" i="2"/>
  <c r="H476" i="2"/>
  <c r="I476" i="2"/>
  <c r="J476" i="2"/>
  <c r="K476" i="2"/>
  <c r="L476" i="2"/>
  <c r="M476" i="2"/>
  <c r="N476" i="2"/>
  <c r="O476" i="2"/>
  <c r="Q476" i="2"/>
  <c r="R476" i="2"/>
  <c r="S476" i="2"/>
  <c r="E477" i="2"/>
  <c r="F477" i="2"/>
  <c r="G477" i="2"/>
  <c r="H477" i="2"/>
  <c r="I477" i="2"/>
  <c r="J477" i="2"/>
  <c r="K477" i="2"/>
  <c r="L477" i="2"/>
  <c r="M477" i="2"/>
  <c r="N477" i="2"/>
  <c r="O477" i="2"/>
  <c r="Q477" i="2"/>
  <c r="R477" i="2"/>
  <c r="S477" i="2"/>
  <c r="E478" i="2"/>
  <c r="F478" i="2"/>
  <c r="G478" i="2"/>
  <c r="H478" i="2"/>
  <c r="I478" i="2"/>
  <c r="J478" i="2"/>
  <c r="K478" i="2"/>
  <c r="L478" i="2"/>
  <c r="M478" i="2"/>
  <c r="N478" i="2"/>
  <c r="O478" i="2"/>
  <c r="Q478" i="2"/>
  <c r="R478" i="2"/>
  <c r="S478" i="2"/>
  <c r="E479" i="2"/>
  <c r="F479" i="2"/>
  <c r="G479" i="2"/>
  <c r="H479" i="2"/>
  <c r="I479" i="2"/>
  <c r="J479" i="2"/>
  <c r="K479" i="2"/>
  <c r="L479" i="2"/>
  <c r="M479" i="2"/>
  <c r="N479" i="2"/>
  <c r="O479" i="2"/>
  <c r="Q479" i="2"/>
  <c r="R479" i="2"/>
  <c r="S479" i="2"/>
  <c r="E480" i="2"/>
  <c r="F480" i="2"/>
  <c r="G480" i="2"/>
  <c r="H480" i="2"/>
  <c r="I480" i="2"/>
  <c r="J480" i="2"/>
  <c r="K480" i="2"/>
  <c r="L480" i="2"/>
  <c r="M480" i="2"/>
  <c r="N480" i="2"/>
  <c r="O480" i="2"/>
  <c r="Q480" i="2"/>
  <c r="R480" i="2"/>
  <c r="S480" i="2"/>
  <c r="E481" i="2"/>
  <c r="F481" i="2"/>
  <c r="G481" i="2"/>
  <c r="H481" i="2"/>
  <c r="I481" i="2"/>
  <c r="J481" i="2"/>
  <c r="K481" i="2"/>
  <c r="L481" i="2"/>
  <c r="M481" i="2"/>
  <c r="N481" i="2"/>
  <c r="O481" i="2"/>
  <c r="Q481" i="2"/>
  <c r="R481" i="2"/>
  <c r="S481" i="2"/>
  <c r="E482" i="2"/>
  <c r="F482" i="2"/>
  <c r="G482" i="2"/>
  <c r="H482" i="2"/>
  <c r="I482" i="2"/>
  <c r="J482" i="2"/>
  <c r="K482" i="2"/>
  <c r="L482" i="2"/>
  <c r="M482" i="2"/>
  <c r="N482" i="2"/>
  <c r="O482" i="2"/>
  <c r="Q482" i="2"/>
  <c r="R482" i="2"/>
  <c r="S482" i="2"/>
  <c r="E483" i="2"/>
  <c r="F483" i="2"/>
  <c r="G483" i="2"/>
  <c r="H483" i="2"/>
  <c r="I483" i="2"/>
  <c r="J483" i="2"/>
  <c r="K483" i="2"/>
  <c r="L483" i="2"/>
  <c r="M483" i="2"/>
  <c r="N483" i="2"/>
  <c r="O483" i="2"/>
  <c r="Q483" i="2"/>
  <c r="R483" i="2"/>
  <c r="S483" i="2"/>
  <c r="E484" i="2"/>
  <c r="F484" i="2"/>
  <c r="G484" i="2"/>
  <c r="H484" i="2"/>
  <c r="I484" i="2"/>
  <c r="J484" i="2"/>
  <c r="K484" i="2"/>
  <c r="L484" i="2"/>
  <c r="M484" i="2"/>
  <c r="N484" i="2"/>
  <c r="O484" i="2"/>
  <c r="Q484" i="2"/>
  <c r="R484" i="2"/>
  <c r="S484" i="2"/>
  <c r="E485" i="2"/>
  <c r="F485" i="2"/>
  <c r="G485" i="2"/>
  <c r="H485" i="2"/>
  <c r="I485" i="2"/>
  <c r="J485" i="2"/>
  <c r="K485" i="2"/>
  <c r="L485" i="2"/>
  <c r="M485" i="2"/>
  <c r="N485" i="2"/>
  <c r="O485" i="2"/>
  <c r="Q485" i="2"/>
  <c r="R485" i="2"/>
  <c r="S485" i="2"/>
  <c r="E486" i="2"/>
  <c r="F486" i="2"/>
  <c r="G486" i="2"/>
  <c r="H486" i="2"/>
  <c r="I486" i="2"/>
  <c r="J486" i="2"/>
  <c r="K486" i="2"/>
  <c r="L486" i="2"/>
  <c r="M486" i="2"/>
  <c r="N486" i="2"/>
  <c r="O486" i="2"/>
  <c r="Q486" i="2"/>
  <c r="R486" i="2"/>
  <c r="S486" i="2"/>
  <c r="E487" i="2"/>
  <c r="F487" i="2"/>
  <c r="G487" i="2"/>
  <c r="H487" i="2"/>
  <c r="I487" i="2"/>
  <c r="J487" i="2"/>
  <c r="K487" i="2"/>
  <c r="L487" i="2"/>
  <c r="M487" i="2"/>
  <c r="N487" i="2"/>
  <c r="O487" i="2"/>
  <c r="Q487" i="2"/>
  <c r="R487" i="2"/>
  <c r="S487" i="2"/>
  <c r="E488" i="2"/>
  <c r="F488" i="2"/>
  <c r="G488" i="2"/>
  <c r="H488" i="2"/>
  <c r="I488" i="2"/>
  <c r="J488" i="2"/>
  <c r="K488" i="2"/>
  <c r="L488" i="2"/>
  <c r="M488" i="2"/>
  <c r="N488" i="2"/>
  <c r="O488" i="2"/>
  <c r="Q488" i="2"/>
  <c r="R488" i="2"/>
  <c r="S488" i="2"/>
  <c r="E489" i="2"/>
  <c r="F489" i="2"/>
  <c r="G489" i="2"/>
  <c r="H489" i="2"/>
  <c r="I489" i="2"/>
  <c r="J489" i="2"/>
  <c r="K489" i="2"/>
  <c r="L489" i="2"/>
  <c r="M489" i="2"/>
  <c r="N489" i="2"/>
  <c r="O489" i="2"/>
  <c r="Q489" i="2"/>
  <c r="R489" i="2"/>
  <c r="S489" i="2"/>
  <c r="E490" i="2"/>
  <c r="F490" i="2"/>
  <c r="G490" i="2"/>
  <c r="H490" i="2"/>
  <c r="I490" i="2"/>
  <c r="J490" i="2"/>
  <c r="K490" i="2"/>
  <c r="L490" i="2"/>
  <c r="M490" i="2"/>
  <c r="N490" i="2"/>
  <c r="O490" i="2"/>
  <c r="Q490" i="2"/>
  <c r="R490" i="2"/>
  <c r="S490" i="2"/>
  <c r="E491" i="2"/>
  <c r="F491" i="2"/>
  <c r="G491" i="2"/>
  <c r="H491" i="2"/>
  <c r="I491" i="2"/>
  <c r="J491" i="2"/>
  <c r="K491" i="2"/>
  <c r="L491" i="2"/>
  <c r="M491" i="2"/>
  <c r="N491" i="2"/>
  <c r="O491" i="2"/>
  <c r="Q491" i="2"/>
  <c r="R491" i="2"/>
  <c r="S491" i="2"/>
  <c r="E492" i="2"/>
  <c r="F492" i="2"/>
  <c r="G492" i="2"/>
  <c r="H492" i="2"/>
  <c r="I492" i="2"/>
  <c r="J492" i="2"/>
  <c r="K492" i="2"/>
  <c r="L492" i="2"/>
  <c r="M492" i="2"/>
  <c r="N492" i="2"/>
  <c r="O492" i="2"/>
  <c r="Q492" i="2"/>
  <c r="R492" i="2"/>
  <c r="S492" i="2"/>
  <c r="E493" i="2"/>
  <c r="F493" i="2"/>
  <c r="G493" i="2"/>
  <c r="H493" i="2"/>
  <c r="I493" i="2"/>
  <c r="J493" i="2"/>
  <c r="K493" i="2"/>
  <c r="L493" i="2"/>
  <c r="M493" i="2"/>
  <c r="N493" i="2"/>
  <c r="O493" i="2"/>
  <c r="Q493" i="2"/>
  <c r="R493" i="2"/>
  <c r="S493" i="2"/>
  <c r="E494" i="2"/>
  <c r="F494" i="2"/>
  <c r="G494" i="2"/>
  <c r="H494" i="2"/>
  <c r="I494" i="2"/>
  <c r="J494" i="2"/>
  <c r="K494" i="2"/>
  <c r="L494" i="2"/>
  <c r="M494" i="2"/>
  <c r="N494" i="2"/>
  <c r="O494" i="2"/>
  <c r="Q494" i="2"/>
  <c r="R494" i="2"/>
  <c r="S494" i="2"/>
  <c r="E495" i="2"/>
  <c r="F495" i="2"/>
  <c r="G495" i="2"/>
  <c r="H495" i="2"/>
  <c r="I495" i="2"/>
  <c r="J495" i="2"/>
  <c r="K495" i="2"/>
  <c r="L495" i="2"/>
  <c r="M495" i="2"/>
  <c r="N495" i="2"/>
  <c r="O495" i="2"/>
  <c r="Q495" i="2"/>
  <c r="R495" i="2"/>
  <c r="S495" i="2"/>
  <c r="E496" i="2"/>
  <c r="F496" i="2"/>
  <c r="G496" i="2"/>
  <c r="H496" i="2"/>
  <c r="I496" i="2"/>
  <c r="J496" i="2"/>
  <c r="K496" i="2"/>
  <c r="L496" i="2"/>
  <c r="M496" i="2"/>
  <c r="N496" i="2"/>
  <c r="O496" i="2"/>
  <c r="Q496" i="2"/>
  <c r="R496" i="2"/>
  <c r="S496" i="2"/>
  <c r="E497" i="2"/>
  <c r="F497" i="2"/>
  <c r="G497" i="2"/>
  <c r="H497" i="2"/>
  <c r="I497" i="2"/>
  <c r="J497" i="2"/>
  <c r="K497" i="2"/>
  <c r="L497" i="2"/>
  <c r="M497" i="2"/>
  <c r="N497" i="2"/>
  <c r="O497" i="2"/>
  <c r="Q497" i="2"/>
  <c r="R497" i="2"/>
  <c r="S497" i="2"/>
  <c r="E498" i="2"/>
  <c r="F498" i="2"/>
  <c r="G498" i="2"/>
  <c r="H498" i="2"/>
  <c r="I498" i="2"/>
  <c r="J498" i="2"/>
  <c r="K498" i="2"/>
  <c r="L498" i="2"/>
  <c r="M498" i="2"/>
  <c r="N498" i="2"/>
  <c r="O498" i="2"/>
  <c r="Q498" i="2"/>
  <c r="R498" i="2"/>
  <c r="S498" i="2"/>
  <c r="E499" i="2"/>
  <c r="F499" i="2"/>
  <c r="G499" i="2"/>
  <c r="H499" i="2"/>
  <c r="I499" i="2"/>
  <c r="J499" i="2"/>
  <c r="K499" i="2"/>
  <c r="L499" i="2"/>
  <c r="M499" i="2"/>
  <c r="N499" i="2"/>
  <c r="O499" i="2"/>
  <c r="Q499" i="2"/>
  <c r="R499" i="2"/>
  <c r="S499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3" i="2"/>
  <c r="E3" i="2"/>
  <c r="G6" i="2"/>
  <c r="G5" i="2"/>
  <c r="G4" i="2"/>
  <c r="H4" i="2" l="1"/>
  <c r="H5" i="2"/>
  <c r="H6" i="2"/>
  <c r="I3" i="2"/>
  <c r="F3" i="2"/>
  <c r="J4" i="2"/>
  <c r="J6" i="2"/>
  <c r="Q4" i="2"/>
  <c r="Q6" i="2"/>
  <c r="J5" i="2"/>
  <c r="Q5" i="2"/>
  <c r="G3" i="2"/>
  <c r="L4" i="2"/>
  <c r="O4" i="2"/>
  <c r="K4" i="2"/>
  <c r="N4" i="2"/>
  <c r="M4" i="2"/>
  <c r="N6" i="2"/>
  <c r="M6" i="2"/>
  <c r="L6" i="2"/>
  <c r="O6" i="2"/>
  <c r="K6" i="2"/>
  <c r="S4" i="2"/>
  <c r="R4" i="2"/>
  <c r="R6" i="2"/>
  <c r="S6" i="2"/>
  <c r="M5" i="2"/>
  <c r="L5" i="2"/>
  <c r="O5" i="2"/>
  <c r="K5" i="2"/>
  <c r="N5" i="2"/>
  <c r="S5" i="2"/>
  <c r="R5" i="2"/>
  <c r="H3" i="2" l="1"/>
  <c r="D2" i="1"/>
  <c r="D1" i="1"/>
  <c r="Q3" i="2"/>
  <c r="J3" i="2"/>
  <c r="R3" i="2"/>
  <c r="S3" i="2"/>
  <c r="O3" i="2"/>
  <c r="N3" i="2"/>
  <c r="K3" i="2"/>
  <c r="L3" i="2"/>
  <c r="M3" i="2"/>
</calcChain>
</file>

<file path=xl/sharedStrings.xml><?xml version="1.0" encoding="utf-8"?>
<sst xmlns="http://schemas.openxmlformats.org/spreadsheetml/2006/main" count="90" uniqueCount="86">
  <si>
    <t>A1</t>
  </si>
  <si>
    <t>B1</t>
  </si>
  <si>
    <t>{ "name":"John", "age":30, "city":"New York"}</t>
  </si>
  <si>
    <t>name</t>
  </si>
  <si>
    <t>merge</t>
  </si>
  <si>
    <t>JsonItem</t>
  </si>
  <si>
    <t>Passed</t>
  </si>
  <si>
    <t>Not Executed</t>
  </si>
  <si>
    <t>Blocks Covered</t>
  </si>
  <si>
    <t>Blocks Not Covered</t>
  </si>
  <si>
    <t>Lines Covered</t>
  </si>
  <si>
    <t>Lines Not Covered</t>
  </si>
  <si>
    <t>Lines Partially Covered</t>
  </si>
  <si>
    <t>Code Covereage</t>
  </si>
  <si>
    <t>Test Results</t>
  </si>
  <si>
    <t>ECIBilling-Nightly</t>
  </si>
  <si>
    <t>ECIEquipmentGuide-Nightly</t>
  </si>
  <si>
    <t>ECIEquipmentMaintenance-Nightly</t>
  </si>
  <si>
    <t>Build Name</t>
  </si>
  <si>
    <t>Build Id</t>
  </si>
  <si>
    <t>CRB-Nightly</t>
  </si>
  <si>
    <t>ReportingOfRepairs</t>
  </si>
  <si>
    <t>6dcf5471-cde6-4a31-946a-255fb90b5ece</t>
  </si>
  <si>
    <t>TTX.Utility</t>
  </si>
  <si>
    <t>7ee2713a-e505-427b-be74-02fc672f982f</t>
  </si>
  <si>
    <t>Purchasing</t>
  </si>
  <si>
    <t>70f1c4ce-0532-4d10-a75d-dfb032afcb21</t>
  </si>
  <si>
    <t>UFD</t>
  </si>
  <si>
    <t>4845c36c-9caf-4ebf-87bc-64ce2bcea429</t>
  </si>
  <si>
    <t>ShopCarTracking</t>
  </si>
  <si>
    <t>294f8055-10b9-459f-80b8-8aff85c81557</t>
  </si>
  <si>
    <t>AutomatedTests</t>
  </si>
  <si>
    <t>38fc552d-3e0f-4b00-bc5f-cdc3d21591b2</t>
  </si>
  <si>
    <t>Reports</t>
  </si>
  <si>
    <t>5b609ce4-2c1a-478c-a15e-a3491c60ff1d</t>
  </si>
  <si>
    <t>Sandbox</t>
  </si>
  <si>
    <t>5d79bb6b-0c4f-4cfe-8889-b509c312270e</t>
  </si>
  <si>
    <t>TTX.MAM</t>
  </si>
  <si>
    <t>2fd28c81-1d3b-42d4-87a0-dca1f6a1c399</t>
  </si>
  <si>
    <t>Mobile</t>
  </si>
  <si>
    <t>59b3b423-a35c-4ac9-852a-1412513e1c94</t>
  </si>
  <si>
    <t>DataArchitecture</t>
  </si>
  <si>
    <t>25f3b8e4-ecda-4fa2-a1f0-3df2f4bac1a2</t>
  </si>
  <si>
    <t>ReloadTacticalModel</t>
  </si>
  <si>
    <t>c1330e8d-3b66-4a64-abbe-0c165d0d5072</t>
  </si>
  <si>
    <t>BizTalk</t>
  </si>
  <si>
    <t>6c5802b9-7aef-4153-9226-146de27e0a8b</t>
  </si>
  <si>
    <t>DataMarts</t>
  </si>
  <si>
    <t>688bf6fd-262b-4c5c-b252-59f7a2b2c421</t>
  </si>
  <si>
    <t>RailcarStatusExtract</t>
  </si>
  <si>
    <t>c0a23093-c205-413e-bd73-188d370ef0ec</t>
  </si>
  <si>
    <t>Enterprise</t>
  </si>
  <si>
    <t>0a375d92-622a-4c8d-b34f-44964966855d</t>
  </si>
  <si>
    <t>TTXProjects</t>
  </si>
  <si>
    <t>4fc06ccf-3d1f-4615-8074-5d277bb8d73d</t>
  </si>
  <si>
    <t>Invoicing</t>
  </si>
  <si>
    <t>22f8d28f-ade5-46d9-a04d-bfd7fbbd511b</t>
  </si>
  <si>
    <t>CRB</t>
  </si>
  <si>
    <t>436fc99f-f830-4df4-a338-80dac7c3eb9f</t>
  </si>
  <si>
    <t>ScrapUpdate</t>
  </si>
  <si>
    <t>7226e205-15b2-4b49-a3f7-278f0ecf9acb</t>
  </si>
  <si>
    <t>ECI</t>
  </si>
  <si>
    <t>42d8ca75-f592-4438-90c7-f628562c8898</t>
  </si>
  <si>
    <t>Finance</t>
  </si>
  <si>
    <t>cb02ff60-df9b-4232-81e6-4da32ed74b21</t>
  </si>
  <si>
    <t>Law</t>
  </si>
  <si>
    <t>c93ae9c2-cdc4-4be3-9a0e-5f66b2c131b1</t>
  </si>
  <si>
    <t>Fleet</t>
  </si>
  <si>
    <t>a9dd46a6-1610-4a25-b660-e06cd42df6c2</t>
  </si>
  <si>
    <t>Database</t>
  </si>
  <si>
    <t>59fa8bc8-6552-48c8-a6c8-58ce935d33b3</t>
  </si>
  <si>
    <t>GitSandbox</t>
  </si>
  <si>
    <t>5e91d7f7-3187-4618-ab50-0930717160e2</t>
  </si>
  <si>
    <t>IT</t>
  </si>
  <si>
    <t>f20c8366-77e7-45aa-a33e-ee15f76b1af8</t>
  </si>
  <si>
    <t>Classic ASP</t>
  </si>
  <si>
    <t>2c28a89e-1d8d-4f15-a3ee-429917c70280</t>
  </si>
  <si>
    <t>OptimizationModels</t>
  </si>
  <si>
    <t>7ef83d70-128d-429b-8ac6-1a3147766b20</t>
  </si>
  <si>
    <t>Equipment</t>
  </si>
  <si>
    <t>7c34f31a-1a90-4a19-9120-1fef5250bda2</t>
  </si>
  <si>
    <t>CorrectiveActionReport</t>
  </si>
  <si>
    <t>5f4ca5b5-c0e8-4124-9719-e6fa7f27634b</t>
  </si>
  <si>
    <t>TTX.Framework</t>
  </si>
  <si>
    <t>54ff30a6-964e-4546-946e-be3be0177d4c</t>
  </si>
  <si>
    <t>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</si>
</sst>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6337778862885"/>
        <bgColor indexed="64"/>
      </patternFill>
    </fill>
    <fill>
      <patternFill patternType="solid">
        <fgColor theme="5" tint="0.599963377788628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center" wrapText="1"/>
    </xf>
    <xf numFmtId="0" fontId="2" fillId="2" borderId="1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wrapText="1"/>
    </xf>
    <xf numFmtId="0" fontId="0" fillId="2" borderId="1" xfId="0" applyFill="1" applyBorder="1"/>
    <xf numFmtId="0" fontId="2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wrapText="1"/>
    </xf>
    <xf numFmtId="0" fontId="0" fillId="3" borderId="1" xfId="0" applyFill="1" applyBorder="1"/>
    <xf numFmtId="0" fontId="2" fillId="0" borderId="0" xfId="0" applyFont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"/>
  <sheetViews>
    <sheetView workbookViewId="0">
      <selection activeCell="D2" sqref="D2"/>
    </sheetView>
  </sheetViews>
  <sheetFormatPr defaultRowHeight="15" x14ac:dyDescent="0.25"/>
  <cols>
    <col min="1" max="1" width="52" customWidth="1"/>
  </cols>
  <sheetData>
    <row r="1" spans="1:4" x14ac:dyDescent="0.25">
      <c r="A1" t="s">
        <v>0</v>
      </c>
      <c r="B1" t="s">
        <v>1</v>
      </c>
      <c r="C1" t="s">
        <v>4</v>
      </c>
      <c r="D1" t="str">
        <f>JsProcess(C1,A1,B1)</f>
        <v>A1 B1</v>
      </c>
    </row>
    <row r="2" spans="1:4" x14ac:dyDescent="0.25">
      <c r="A2" t="s">
        <v>2</v>
      </c>
      <c r="B2" t="s">
        <v>3</v>
      </c>
      <c r="C2" t="s">
        <v>5</v>
      </c>
      <c r="D2" t="str">
        <f>JsProcess(C2,A2,B2)</f>
        <v>"John"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499"/>
  <sheetViews>
    <sheetView tabSelected="1" workbookViewId="0">
      <selection activeCell="C9" sqref="C9"/>
    </sheetView>
  </sheetViews>
  <sheetFormatPr defaultRowHeight="15" x14ac:dyDescent="0.25"/>
  <cols>
    <col min="1" max="1" width="7.28515625" bestFit="1" customWidth="1"/>
    <col min="2" max="2" width="32.85546875" bestFit="1" customWidth="1"/>
    <col min="4" max="4" width="0" hidden="1" customWidth="1"/>
    <col min="5" max="5" width="9.5703125" hidden="1" customWidth="1"/>
    <col min="6" max="6" width="11.5703125" hidden="1" customWidth="1"/>
    <col min="7" max="7" width="12.42578125" hidden="1" customWidth="1"/>
    <col min="8" max="8" width="13.28515625" hidden="1" customWidth="1"/>
    <col min="9" max="9" width="9.7109375" hidden="1" customWidth="1"/>
    <col min="10" max="10" width="13.28515625" hidden="1" customWidth="1"/>
    <col min="11" max="15" width="15.85546875" style="7" customWidth="1"/>
    <col min="16" max="16" width="9.42578125" hidden="1" customWidth="1"/>
    <col min="17" max="17" width="11.140625" hidden="1" customWidth="1"/>
    <col min="18" max="18" width="9.140625" style="10"/>
    <col min="19" max="19" width="12.85546875" style="10" bestFit="1" customWidth="1"/>
  </cols>
  <sheetData>
    <row r="1" spans="1:19" s="3" customFormat="1" x14ac:dyDescent="0.25">
      <c r="A1" s="4" t="s">
        <v>85</v>
      </c>
      <c r="B1" s="4" t="s">
        <v>18</v>
      </c>
      <c r="C1" s="4" t="s">
        <v>19</v>
      </c>
      <c r="D1" s="11"/>
      <c r="K1" s="5" t="s">
        <v>13</v>
      </c>
      <c r="L1" s="5"/>
      <c r="M1" s="5"/>
      <c r="N1" s="5"/>
      <c r="O1" s="5"/>
      <c r="P1" s="2"/>
      <c r="Q1" s="2"/>
      <c r="R1" s="8" t="s">
        <v>14</v>
      </c>
      <c r="S1" s="8"/>
    </row>
    <row r="2" spans="1:19" s="3" customFormat="1" ht="30" x14ac:dyDescent="0.25">
      <c r="A2" s="4"/>
      <c r="B2" s="4"/>
      <c r="C2" s="4"/>
      <c r="D2" s="11"/>
      <c r="K2" s="6" t="s">
        <v>8</v>
      </c>
      <c r="L2" s="6" t="s">
        <v>9</v>
      </c>
      <c r="M2" s="6" t="s">
        <v>10</v>
      </c>
      <c r="N2" s="6" t="s">
        <v>11</v>
      </c>
      <c r="O2" s="6" t="s">
        <v>12</v>
      </c>
      <c r="P2" s="2"/>
      <c r="Q2" s="2"/>
      <c r="R2" s="9" t="s">
        <v>6</v>
      </c>
      <c r="S2" s="9" t="s">
        <v>7</v>
      </c>
    </row>
    <row r="3" spans="1:19" x14ac:dyDescent="0.25">
      <c r="A3" t="s">
        <v>61</v>
      </c>
      <c r="B3" t="s">
        <v>15</v>
      </c>
      <c r="C3">
        <v>487</v>
      </c>
      <c r="D3" t="str">
        <f>IF(C3="","",VLOOKUP(A3,Projects!A:B,2,FALSE))</f>
        <v>42d8ca75-f592-4438-90c7-f628562c8898</v>
      </c>
      <c r="E3" s="1" t="str">
        <f>IF(C3="","","http://tfs.ttx.com:8080/tfs/DefaultCollection/"&amp;D3&amp;"/_apis/build/Builds?%24top=25&amp;statusFilter=2&amp;definitions="&amp;C3)</f>
        <v>http://tfs.ttx.com:8080/tfs/DefaultCollection/42d8ca75-f592-4438-90c7-f628562c8898/_apis/build/Builds?%24top=25&amp;statusFilter=2&amp;definitions=487</v>
      </c>
      <c r="F3" t="str">
        <f>IF(C3="","","GetRecentBuildId")</f>
        <v>GetRecentBuildId</v>
      </c>
      <c r="G3" t="str">
        <f>IF(C3="","",ProcessUrl(E3,F3))</f>
        <v>49160</v>
      </c>
      <c r="H3" t="str">
        <f>IF(C3="","","http://tfs.ttx.com:8080/tfs/DefaultCollection/"&amp;D3&amp;"/_apis/test/CodeCoverage?buildId="&amp;G3&amp;"&amp;flags=1")</f>
        <v>http://tfs.ttx.com:8080/tfs/DefaultCollection/42d8ca75-f592-4438-90c7-f628562c8898/_apis/test/CodeCoverage?buildId=49160&amp;flags=1</v>
      </c>
      <c r="I3" t="str">
        <f>IF(C3="","","GetCodeCoverage")</f>
        <v>GetCodeCoverage</v>
      </c>
      <c r="J3" t="str">
        <f>IF(C3="","",ProcessUrl(H3,I3))</f>
        <v>{"blocksCovered":8718,"blocksNotCovered":9049,"linesCovered":5862,"linesNotCovered":7383,"linesPartiallyCovered":189}</v>
      </c>
      <c r="K3" s="7" t="str">
        <f>IF(C3="","",JsProcess("JsonItem",J3,"blocksCovered"))</f>
        <v>8718</v>
      </c>
      <c r="L3" s="7" t="str">
        <f>IF(C3="","",JsProcess("JsonItem",J3,"blocksNotCovered"))</f>
        <v>9049</v>
      </c>
      <c r="M3" s="7" t="str">
        <f>IF(C3="","",JsProcess("JsonItem",J3,"linesCovered"))</f>
        <v>5862</v>
      </c>
      <c r="N3" s="7" t="str">
        <f>IF(C3="","",JsProcess("JsonItem",J3,"linesNotCovered"))</f>
        <v>7383</v>
      </c>
      <c r="O3" s="7" t="str">
        <f>IF(C3="","",JsProcess("JsonItem",J3,"linesPartiallyCovered"))</f>
        <v>189</v>
      </c>
      <c r="P3" t="str">
        <f>IF(C3="","","http://tfs.ttx.com:8080/tfs/DefaultCollection/"&amp;A3&amp;"/_apis/test/ReportForBuild/"&amp;G3&amp;"?sourceWorkflow=CI&amp;includeFailureDetails=true ")</f>
        <v xml:space="preserve">http://tfs.ttx.com:8080/tfs/DefaultCollection/ECI/_apis/test/ReportForBuild/49160?sourceWorkflow=CI&amp;includeFailureDetails=true </v>
      </c>
      <c r="Q3" t="str">
        <f>IF(C3="","",ProcessUrl(P3,"GetTestResults"))</f>
        <v>{"Passed":{"outcome":"passed","count":270,"duration":"00:00:16.7210000"},"NotExecuted":{"outcome":"notExecuted","count":7,"duration":"00:00:00"}}</v>
      </c>
      <c r="R3" s="10" t="str">
        <f>IF(C3="","",JsProcess("JsonItem",JsProcess("JsonItem",Q3,"Passed"),"count"))</f>
        <v>270</v>
      </c>
      <c r="S3" s="10" t="str">
        <f>IF(C3="","",JsProcess("JsonItem",JsProcess("JsonItem",Q3,"NotExecuted"),"count"))</f>
        <v>7</v>
      </c>
    </row>
    <row r="4" spans="1:19" x14ac:dyDescent="0.25">
      <c r="A4" t="s">
        <v>61</v>
      </c>
      <c r="B4" t="s">
        <v>16</v>
      </c>
      <c r="C4">
        <v>490</v>
      </c>
      <c r="D4" t="str">
        <f>IF(C4="","",VLOOKUP(A4,Projects!A:B,2,FALSE))</f>
        <v>42d8ca75-f592-4438-90c7-f628562c8898</v>
      </c>
      <c r="E4" s="1" t="str">
        <f t="shared" ref="E4:E67" si="0">IF(C4="","","http://tfs.ttx.com:8080/tfs/DefaultCollection/"&amp;D4&amp;"/_apis/build/Builds?%24top=25&amp;statusFilter=2&amp;definitions="&amp;C4)</f>
        <v>http://tfs.ttx.com:8080/tfs/DefaultCollection/42d8ca75-f592-4438-90c7-f628562c8898/_apis/build/Builds?%24top=25&amp;statusFilter=2&amp;definitions=490</v>
      </c>
      <c r="F4" t="str">
        <f t="shared" ref="F4:F67" si="1">IF(C4="","","GetRecentBuildId")</f>
        <v>GetRecentBuildId</v>
      </c>
      <c r="G4" t="str">
        <f>IF(C4="","",ProcessUrl(E4,F4))</f>
        <v>49161</v>
      </c>
      <c r="H4" t="str">
        <f t="shared" ref="H4:H67" si="2">IF(C4="","","http://tfs.ttx.com:8080/tfs/DefaultCollection/"&amp;D4&amp;"/_apis/test/CodeCoverage?buildId="&amp;G4&amp;"&amp;flags=1")</f>
        <v>http://tfs.ttx.com:8080/tfs/DefaultCollection/42d8ca75-f592-4438-90c7-f628562c8898/_apis/test/CodeCoverage?buildId=49161&amp;flags=1</v>
      </c>
      <c r="I4" t="str">
        <f t="shared" ref="I4:I67" si="3">IF(C4="","","GetCodeCoverage")</f>
        <v>GetCodeCoverage</v>
      </c>
      <c r="J4" t="str">
        <f>IF(C4="","",ProcessUrl(H4,I4))</f>
        <v>{"blocksCovered":21325,"blocksNotCovered":12292,"linesCovered":14309,"linesNotCovered":8830,"linesPartiallyCovered":313}</v>
      </c>
      <c r="K4" s="7" t="str">
        <f t="shared" ref="K4:K67" si="4">IF(C4="","",JsProcess("JsonItem",J4,"blocksCovered"))</f>
        <v>21325</v>
      </c>
      <c r="L4" s="7" t="str">
        <f t="shared" ref="L4:L67" si="5">IF(C4="","",JsProcess("JsonItem",J4,"blocksNotCovered"))</f>
        <v>12292</v>
      </c>
      <c r="M4" s="7" t="str">
        <f t="shared" ref="M4:M67" si="6">IF(C4="","",JsProcess("JsonItem",J4,"linesCovered"))</f>
        <v>14309</v>
      </c>
      <c r="N4" s="7" t="str">
        <f t="shared" ref="N4:N67" si="7">IF(C4="","",JsProcess("JsonItem",J4,"linesNotCovered"))</f>
        <v>8830</v>
      </c>
      <c r="O4" s="7" t="str">
        <f t="shared" ref="O4:O67" si="8">IF(C4="","",JsProcess("JsonItem",J4,"linesPartiallyCovered"))</f>
        <v>313</v>
      </c>
      <c r="P4" t="str">
        <f t="shared" ref="P4:P67" si="9">IF(C4="","","http://tfs.ttx.com:8080/tfs/DefaultCollection/"&amp;A4&amp;"/_apis/test/ReportForBuild/"&amp;G4&amp;"?sourceWorkflow=CI&amp;includeFailureDetails=true ")</f>
        <v xml:space="preserve">http://tfs.ttx.com:8080/tfs/DefaultCollection/ECI/_apis/test/ReportForBuild/49161?sourceWorkflow=CI&amp;includeFailureDetails=true </v>
      </c>
      <c r="Q4" t="str">
        <f>IF(C4="","",ProcessUrl(P4,"GetTestResults"))</f>
        <v>{"Passed":{"outcome":"passed","count":589,"duration":"00:00:21.7700000"},"NotExecuted":{"outcome":"notExecuted","count":6,"duration":"00:00:00"}}</v>
      </c>
      <c r="R4" s="10" t="str">
        <f>IF(C4="","",JsProcess("JsonItem",JsProcess("JsonItem",Q4,"Passed"),"count"))</f>
        <v>589</v>
      </c>
      <c r="S4" s="10" t="str">
        <f>IF(C4="","",JsProcess("JsonItem",JsProcess("JsonItem",Q4,"NotExecuted"),"count"))</f>
        <v>6</v>
      </c>
    </row>
    <row r="5" spans="1:19" x14ac:dyDescent="0.25">
      <c r="A5" t="s">
        <v>61</v>
      </c>
      <c r="B5" t="s">
        <v>17</v>
      </c>
      <c r="C5">
        <v>493</v>
      </c>
      <c r="D5" t="str">
        <f>IF(C5="","",VLOOKUP(A5,Projects!A:B,2,FALSE))</f>
        <v>42d8ca75-f592-4438-90c7-f628562c8898</v>
      </c>
      <c r="E5" s="1" t="str">
        <f t="shared" si="0"/>
        <v>http://tfs.ttx.com:8080/tfs/DefaultCollection/42d8ca75-f592-4438-90c7-f628562c8898/_apis/build/Builds?%24top=25&amp;statusFilter=2&amp;definitions=493</v>
      </c>
      <c r="F5" t="str">
        <f t="shared" si="1"/>
        <v>GetRecentBuildId</v>
      </c>
      <c r="G5" t="str">
        <f>IF(C5="","",ProcessUrl(E5,F5))</f>
        <v>49163</v>
      </c>
      <c r="H5" t="str">
        <f t="shared" si="2"/>
        <v>http://tfs.ttx.com:8080/tfs/DefaultCollection/42d8ca75-f592-4438-90c7-f628562c8898/_apis/test/CodeCoverage?buildId=49163&amp;flags=1</v>
      </c>
      <c r="I5" t="str">
        <f t="shared" si="3"/>
        <v>GetCodeCoverage</v>
      </c>
      <c r="J5" t="str">
        <f>IF(C5="","",ProcessUrl(H5,I5))</f>
        <v>{"blocksCovered":52978,"blocksNotCovered":19613,"linesCovered":31130,"linesNotCovered":12438,"linesPartiallyCovered":1272}</v>
      </c>
      <c r="K5" s="7" t="str">
        <f t="shared" si="4"/>
        <v>52978</v>
      </c>
      <c r="L5" s="7" t="str">
        <f t="shared" si="5"/>
        <v>19613</v>
      </c>
      <c r="M5" s="7" t="str">
        <f t="shared" si="6"/>
        <v>31130</v>
      </c>
      <c r="N5" s="7" t="str">
        <f t="shared" si="7"/>
        <v>12438</v>
      </c>
      <c r="O5" s="7" t="str">
        <f t="shared" si="8"/>
        <v>1272</v>
      </c>
      <c r="P5" t="str">
        <f t="shared" si="9"/>
        <v xml:space="preserve">http://tfs.ttx.com:8080/tfs/DefaultCollection/ECI/_apis/test/ReportForBuild/49163?sourceWorkflow=CI&amp;includeFailureDetails=true </v>
      </c>
      <c r="Q5" t="str">
        <f>IF(C5="","",ProcessUrl(P5,"GetTestResults"))</f>
        <v>{"Passed":{"outcome":"passed","count":927,"duration":"00:00:30.0020000"},"NotExecuted":{"outcome":"notExecuted","count":21,"duration":"00:00:00"}}</v>
      </c>
      <c r="R5" s="10" t="str">
        <f>IF(C5="","",JsProcess("JsonItem",JsProcess("JsonItem",Q5,"Passed"),"count"))</f>
        <v>927</v>
      </c>
      <c r="S5" s="10" t="str">
        <f>IF(C5="","",JsProcess("JsonItem",JsProcess("JsonItem",Q5,"NotExecuted"),"count"))</f>
        <v>21</v>
      </c>
    </row>
    <row r="6" spans="1:19" x14ac:dyDescent="0.25">
      <c r="A6" t="s">
        <v>57</v>
      </c>
      <c r="B6" t="s">
        <v>20</v>
      </c>
      <c r="C6">
        <v>408</v>
      </c>
      <c r="D6" t="str">
        <f>IF(C6="","",VLOOKUP(A6,Projects!A:B,2,FALSE))</f>
        <v>436fc99f-f830-4df4-a338-80dac7c3eb9f</v>
      </c>
      <c r="E6" s="1" t="str">
        <f t="shared" si="0"/>
        <v>http://tfs.ttx.com:8080/tfs/DefaultCollection/436fc99f-f830-4df4-a338-80dac7c3eb9f/_apis/build/Builds?%24top=25&amp;statusFilter=2&amp;definitions=408</v>
      </c>
      <c r="F6" t="str">
        <f t="shared" si="1"/>
        <v>GetRecentBuildId</v>
      </c>
      <c r="G6" t="str">
        <f>IF(C6="","",ProcessUrl(E6,F6))</f>
        <v>49099</v>
      </c>
      <c r="H6" t="str">
        <f t="shared" si="2"/>
        <v>http://tfs.ttx.com:8080/tfs/DefaultCollection/436fc99f-f830-4df4-a338-80dac7c3eb9f/_apis/test/CodeCoverage?buildId=49099&amp;flags=1</v>
      </c>
      <c r="I6" t="str">
        <f t="shared" si="3"/>
        <v>GetCodeCoverage</v>
      </c>
      <c r="J6" t="str">
        <f>IF(C6="","",ProcessUrl(H6,I6))</f>
        <v>{"blocksCovered":159643,"blocksNotCovered":158911,"linesCovered":80735,"linesNotCovered":80659,"linesPartiallyCovered":1747}</v>
      </c>
      <c r="K6" s="7" t="str">
        <f t="shared" si="4"/>
        <v>159643</v>
      </c>
      <c r="L6" s="7" t="str">
        <f t="shared" si="5"/>
        <v>158911</v>
      </c>
      <c r="M6" s="7" t="str">
        <f t="shared" si="6"/>
        <v>80735</v>
      </c>
      <c r="N6" s="7" t="str">
        <f t="shared" si="7"/>
        <v>80659</v>
      </c>
      <c r="O6" s="7" t="str">
        <f t="shared" si="8"/>
        <v>1747</v>
      </c>
      <c r="P6" t="str">
        <f t="shared" si="9"/>
        <v xml:space="preserve">http://tfs.ttx.com:8080/tfs/DefaultCollection/CRB/_apis/test/ReportForBuild/49099?sourceWorkflow=CI&amp;includeFailureDetails=true </v>
      </c>
      <c r="Q6" t="str">
        <f>IF(C6="","",ProcessUrl(P6,"GetTestResults"))</f>
        <v>{"Passed":{"outcome":"passed","count":2745,"duration":"00:01:09.4090000"},"NotExecuted":{"outcome":"notExecuted","count":197,"duration":"00:00:00"}}</v>
      </c>
      <c r="R6" s="10" t="str">
        <f>IF(C6="","",JsProcess("JsonItem",JsProcess("JsonItem",Q6,"Passed"),"count"))</f>
        <v>2745</v>
      </c>
      <c r="S6" s="10" t="str">
        <f>IF(C6="","",JsProcess("JsonItem",JsProcess("JsonItem",Q6,"NotExecuted"),"count"))</f>
        <v>197</v>
      </c>
    </row>
    <row r="7" spans="1:19" x14ac:dyDescent="0.25">
      <c r="D7" t="str">
        <f>IF(C7="","",VLOOKUP(A7,Projects!A:B,2,FALSE))</f>
        <v/>
      </c>
      <c r="E7" s="1" t="str">
        <f t="shared" si="0"/>
        <v/>
      </c>
      <c r="F7" t="str">
        <f t="shared" si="1"/>
        <v/>
      </c>
      <c r="G7" t="str">
        <f>IF(C7="","",ProcessUrl(E7,F7))</f>
        <v/>
      </c>
      <c r="H7" t="str">
        <f t="shared" si="2"/>
        <v/>
      </c>
      <c r="I7" t="str">
        <f t="shared" si="3"/>
        <v/>
      </c>
      <c r="J7" t="str">
        <f>IF(C7="","",ProcessUrl(H7,I7))</f>
        <v/>
      </c>
      <c r="K7" s="7" t="str">
        <f t="shared" si="4"/>
        <v/>
      </c>
      <c r="L7" s="7" t="str">
        <f t="shared" si="5"/>
        <v/>
      </c>
      <c r="M7" s="7" t="str">
        <f t="shared" si="6"/>
        <v/>
      </c>
      <c r="N7" s="7" t="str">
        <f t="shared" si="7"/>
        <v/>
      </c>
      <c r="O7" s="7" t="str">
        <f t="shared" si="8"/>
        <v/>
      </c>
      <c r="P7" t="str">
        <f t="shared" si="9"/>
        <v/>
      </c>
      <c r="Q7" t="str">
        <f>IF(C7="","",ProcessUrl(P7,"GetTestResults"))</f>
        <v/>
      </c>
      <c r="R7" s="10" t="str">
        <f>IF(C7="","",JsProcess("JsonItem",JsProcess("JsonItem",Q7,"Passed"),"count"))</f>
        <v/>
      </c>
      <c r="S7" s="10" t="str">
        <f>IF(C7="","",JsProcess("JsonItem",JsProcess("JsonItem",Q7,"NotExecuted"),"count"))</f>
        <v/>
      </c>
    </row>
    <row r="8" spans="1:19" x14ac:dyDescent="0.25">
      <c r="D8" t="str">
        <f>IF(C8="","",VLOOKUP(A8,Projects!A:B,2,FALSE))</f>
        <v/>
      </c>
      <c r="E8" s="1" t="str">
        <f t="shared" si="0"/>
        <v/>
      </c>
      <c r="F8" t="str">
        <f t="shared" si="1"/>
        <v/>
      </c>
      <c r="G8" t="str">
        <f>IF(C8="","",ProcessUrl(E8,F8))</f>
        <v/>
      </c>
      <c r="H8" t="str">
        <f t="shared" si="2"/>
        <v/>
      </c>
      <c r="I8" t="str">
        <f t="shared" si="3"/>
        <v/>
      </c>
      <c r="J8" t="str">
        <f>IF(C8="","",ProcessUrl(H8,I8))</f>
        <v/>
      </c>
      <c r="K8" s="7" t="str">
        <f t="shared" si="4"/>
        <v/>
      </c>
      <c r="L8" s="7" t="str">
        <f t="shared" si="5"/>
        <v/>
      </c>
      <c r="M8" s="7" t="str">
        <f t="shared" si="6"/>
        <v/>
      </c>
      <c r="N8" s="7" t="str">
        <f t="shared" si="7"/>
        <v/>
      </c>
      <c r="O8" s="7" t="str">
        <f t="shared" si="8"/>
        <v/>
      </c>
      <c r="P8" t="str">
        <f t="shared" si="9"/>
        <v/>
      </c>
      <c r="Q8" t="str">
        <f>IF(C8="","",ProcessUrl(P8,"GetTestResults"))</f>
        <v/>
      </c>
      <c r="R8" s="10" t="str">
        <f>IF(C8="","",JsProcess("JsonItem",JsProcess("JsonItem",Q8,"Passed"),"count"))</f>
        <v/>
      </c>
      <c r="S8" s="10" t="str">
        <f>IF(C8="","",JsProcess("JsonItem",JsProcess("JsonItem",Q8,"NotExecuted"),"count"))</f>
        <v/>
      </c>
    </row>
    <row r="9" spans="1:19" x14ac:dyDescent="0.25">
      <c r="D9" t="str">
        <f>IF(C9="","",VLOOKUP(A9,Projects!A:B,2,FALSE))</f>
        <v/>
      </c>
      <c r="E9" s="1" t="str">
        <f t="shared" si="0"/>
        <v/>
      </c>
      <c r="F9" t="str">
        <f t="shared" si="1"/>
        <v/>
      </c>
      <c r="G9" t="str">
        <f>IF(C9="","",ProcessUrl(E9,F9))</f>
        <v/>
      </c>
      <c r="H9" t="str">
        <f t="shared" si="2"/>
        <v/>
      </c>
      <c r="I9" t="str">
        <f t="shared" si="3"/>
        <v/>
      </c>
      <c r="J9" t="str">
        <f>IF(C9="","",ProcessUrl(H9,I9))</f>
        <v/>
      </c>
      <c r="K9" s="7" t="str">
        <f t="shared" si="4"/>
        <v/>
      </c>
      <c r="L9" s="7" t="str">
        <f t="shared" si="5"/>
        <v/>
      </c>
      <c r="M9" s="7" t="str">
        <f t="shared" si="6"/>
        <v/>
      </c>
      <c r="N9" s="7" t="str">
        <f t="shared" si="7"/>
        <v/>
      </c>
      <c r="O9" s="7" t="str">
        <f t="shared" si="8"/>
        <v/>
      </c>
      <c r="P9" t="str">
        <f t="shared" si="9"/>
        <v/>
      </c>
      <c r="Q9" t="str">
        <f>IF(C9="","",ProcessUrl(P9,"GetTestResults"))</f>
        <v/>
      </c>
      <c r="R9" s="10" t="str">
        <f>IF(C9="","",JsProcess("JsonItem",JsProcess("JsonItem",Q9,"Passed"),"count"))</f>
        <v/>
      </c>
      <c r="S9" s="10" t="str">
        <f>IF(C9="","",JsProcess("JsonItem",JsProcess("JsonItem",Q9,"NotExecuted"),"count"))</f>
        <v/>
      </c>
    </row>
    <row r="10" spans="1:19" x14ac:dyDescent="0.25">
      <c r="D10" t="str">
        <f>IF(C10="","",VLOOKUP(A10,Projects!A:B,2,FALSE))</f>
        <v/>
      </c>
      <c r="E10" s="1" t="str">
        <f t="shared" si="0"/>
        <v/>
      </c>
      <c r="F10" t="str">
        <f t="shared" si="1"/>
        <v/>
      </c>
      <c r="G10" t="str">
        <f>IF(C10="","",ProcessUrl(E10,F10))</f>
        <v/>
      </c>
      <c r="H10" t="str">
        <f t="shared" si="2"/>
        <v/>
      </c>
      <c r="I10" t="str">
        <f t="shared" si="3"/>
        <v/>
      </c>
      <c r="J10" t="str">
        <f>IF(C10="","",ProcessUrl(H10,I10))</f>
        <v/>
      </c>
      <c r="K10" s="7" t="str">
        <f t="shared" si="4"/>
        <v/>
      </c>
      <c r="L10" s="7" t="str">
        <f t="shared" si="5"/>
        <v/>
      </c>
      <c r="M10" s="7" t="str">
        <f t="shared" si="6"/>
        <v/>
      </c>
      <c r="N10" s="7" t="str">
        <f t="shared" si="7"/>
        <v/>
      </c>
      <c r="O10" s="7" t="str">
        <f t="shared" si="8"/>
        <v/>
      </c>
      <c r="P10" t="str">
        <f t="shared" si="9"/>
        <v/>
      </c>
      <c r="Q10" t="str">
        <f>IF(C10="","",ProcessUrl(P10,"GetTestResults"))</f>
        <v/>
      </c>
      <c r="R10" s="10" t="str">
        <f>IF(C10="","",JsProcess("JsonItem",JsProcess("JsonItem",Q10,"Passed"),"count"))</f>
        <v/>
      </c>
      <c r="S10" s="10" t="str">
        <f>IF(C10="","",JsProcess("JsonItem",JsProcess("JsonItem",Q10,"NotExecuted"),"count"))</f>
        <v/>
      </c>
    </row>
    <row r="11" spans="1:19" x14ac:dyDescent="0.25">
      <c r="D11" t="str">
        <f>IF(C11="","",VLOOKUP(A11,Projects!A:B,2,FALSE))</f>
        <v/>
      </c>
      <c r="E11" s="1" t="str">
        <f t="shared" si="0"/>
        <v/>
      </c>
      <c r="F11" t="str">
        <f t="shared" si="1"/>
        <v/>
      </c>
      <c r="G11" t="str">
        <f>IF(C11="","",ProcessUrl(E11,F11))</f>
        <v/>
      </c>
      <c r="H11" t="str">
        <f t="shared" si="2"/>
        <v/>
      </c>
      <c r="I11" t="str">
        <f t="shared" si="3"/>
        <v/>
      </c>
      <c r="J11" t="str">
        <f>IF(C11="","",ProcessUrl(H11,I11))</f>
        <v/>
      </c>
      <c r="K11" s="7" t="str">
        <f t="shared" si="4"/>
        <v/>
      </c>
      <c r="L11" s="7" t="str">
        <f t="shared" si="5"/>
        <v/>
      </c>
      <c r="M11" s="7" t="str">
        <f t="shared" si="6"/>
        <v/>
      </c>
      <c r="N11" s="7" t="str">
        <f t="shared" si="7"/>
        <v/>
      </c>
      <c r="O11" s="7" t="str">
        <f t="shared" si="8"/>
        <v/>
      </c>
      <c r="P11" t="str">
        <f t="shared" si="9"/>
        <v/>
      </c>
      <c r="Q11" t="str">
        <f>IF(C11="","",ProcessUrl(P11,"GetTestResults"))</f>
        <v/>
      </c>
      <c r="R11" s="10" t="str">
        <f>IF(C11="","",JsProcess("JsonItem",JsProcess("JsonItem",Q11,"Passed"),"count"))</f>
        <v/>
      </c>
      <c r="S11" s="10" t="str">
        <f>IF(C11="","",JsProcess("JsonItem",JsProcess("JsonItem",Q11,"NotExecuted"),"count"))</f>
        <v/>
      </c>
    </row>
    <row r="12" spans="1:19" x14ac:dyDescent="0.25">
      <c r="D12" t="str">
        <f>IF(C12="","",VLOOKUP(A12,Projects!A:B,2,FALSE))</f>
        <v/>
      </c>
      <c r="E12" s="1" t="str">
        <f t="shared" si="0"/>
        <v/>
      </c>
      <c r="F12" t="str">
        <f t="shared" si="1"/>
        <v/>
      </c>
      <c r="G12" t="str">
        <f>IF(C12="","",ProcessUrl(E12,F12))</f>
        <v/>
      </c>
      <c r="H12" t="str">
        <f t="shared" si="2"/>
        <v/>
      </c>
      <c r="I12" t="str">
        <f t="shared" si="3"/>
        <v/>
      </c>
      <c r="J12" t="str">
        <f>IF(C12="","",ProcessUrl(H12,I12))</f>
        <v/>
      </c>
      <c r="K12" s="7" t="str">
        <f t="shared" si="4"/>
        <v/>
      </c>
      <c r="L12" s="7" t="str">
        <f t="shared" si="5"/>
        <v/>
      </c>
      <c r="M12" s="7" t="str">
        <f t="shared" si="6"/>
        <v/>
      </c>
      <c r="N12" s="7" t="str">
        <f t="shared" si="7"/>
        <v/>
      </c>
      <c r="O12" s="7" t="str">
        <f t="shared" si="8"/>
        <v/>
      </c>
      <c r="P12" t="str">
        <f t="shared" si="9"/>
        <v/>
      </c>
      <c r="Q12" t="str">
        <f>IF(C12="","",ProcessUrl(P12,"GetTestResults"))</f>
        <v/>
      </c>
      <c r="R12" s="10" t="str">
        <f>IF(C12="","",JsProcess("JsonItem",JsProcess("JsonItem",Q12,"Passed"),"count"))</f>
        <v/>
      </c>
      <c r="S12" s="10" t="str">
        <f>IF(C12="","",JsProcess("JsonItem",JsProcess("JsonItem",Q12,"NotExecuted"),"count"))</f>
        <v/>
      </c>
    </row>
    <row r="13" spans="1:19" x14ac:dyDescent="0.25">
      <c r="D13" t="str">
        <f>IF(C13="","",VLOOKUP(A13,Projects!A:B,2,FALSE))</f>
        <v/>
      </c>
      <c r="E13" s="1" t="str">
        <f t="shared" si="0"/>
        <v/>
      </c>
      <c r="F13" t="str">
        <f t="shared" si="1"/>
        <v/>
      </c>
      <c r="G13" t="str">
        <f>IF(C13="","",ProcessUrl(E13,F13))</f>
        <v/>
      </c>
      <c r="H13" t="str">
        <f t="shared" si="2"/>
        <v/>
      </c>
      <c r="I13" t="str">
        <f t="shared" si="3"/>
        <v/>
      </c>
      <c r="J13" t="str">
        <f>IF(C13="","",ProcessUrl(H13,I13))</f>
        <v/>
      </c>
      <c r="K13" s="7" t="str">
        <f t="shared" si="4"/>
        <v/>
      </c>
      <c r="L13" s="7" t="str">
        <f t="shared" si="5"/>
        <v/>
      </c>
      <c r="M13" s="7" t="str">
        <f t="shared" si="6"/>
        <v/>
      </c>
      <c r="N13" s="7" t="str">
        <f t="shared" si="7"/>
        <v/>
      </c>
      <c r="O13" s="7" t="str">
        <f t="shared" si="8"/>
        <v/>
      </c>
      <c r="P13" t="str">
        <f t="shared" si="9"/>
        <v/>
      </c>
      <c r="Q13" t="str">
        <f>IF(C13="","",ProcessUrl(P13,"GetTestResults"))</f>
        <v/>
      </c>
      <c r="R13" s="10" t="str">
        <f>IF(C13="","",JsProcess("JsonItem",JsProcess("JsonItem",Q13,"Passed"),"count"))</f>
        <v/>
      </c>
      <c r="S13" s="10" t="str">
        <f>IF(C13="","",JsProcess("JsonItem",JsProcess("JsonItem",Q13,"NotExecuted"),"count"))</f>
        <v/>
      </c>
    </row>
    <row r="14" spans="1:19" x14ac:dyDescent="0.25">
      <c r="D14" t="str">
        <f>IF(C14="","",VLOOKUP(A14,Projects!A:B,2,FALSE))</f>
        <v/>
      </c>
      <c r="E14" s="1" t="str">
        <f t="shared" si="0"/>
        <v/>
      </c>
      <c r="F14" t="str">
        <f t="shared" si="1"/>
        <v/>
      </c>
      <c r="G14" t="str">
        <f>IF(C14="","",ProcessUrl(E14,F14))</f>
        <v/>
      </c>
      <c r="H14" t="str">
        <f t="shared" si="2"/>
        <v/>
      </c>
      <c r="I14" t="str">
        <f t="shared" si="3"/>
        <v/>
      </c>
      <c r="J14" t="str">
        <f>IF(C14="","",ProcessUrl(H14,I14))</f>
        <v/>
      </c>
      <c r="K14" s="7" t="str">
        <f t="shared" si="4"/>
        <v/>
      </c>
      <c r="L14" s="7" t="str">
        <f t="shared" si="5"/>
        <v/>
      </c>
      <c r="M14" s="7" t="str">
        <f t="shared" si="6"/>
        <v/>
      </c>
      <c r="N14" s="7" t="str">
        <f t="shared" si="7"/>
        <v/>
      </c>
      <c r="O14" s="7" t="str">
        <f t="shared" si="8"/>
        <v/>
      </c>
      <c r="P14" t="str">
        <f t="shared" si="9"/>
        <v/>
      </c>
      <c r="Q14" t="str">
        <f>IF(C14="","",ProcessUrl(P14,"GetTestResults"))</f>
        <v/>
      </c>
      <c r="R14" s="10" t="str">
        <f>IF(C14="","",JsProcess("JsonItem",JsProcess("JsonItem",Q14,"Passed"),"count"))</f>
        <v/>
      </c>
      <c r="S14" s="10" t="str">
        <f>IF(C14="","",JsProcess("JsonItem",JsProcess("JsonItem",Q14,"NotExecuted"),"count"))</f>
        <v/>
      </c>
    </row>
    <row r="15" spans="1:19" x14ac:dyDescent="0.25">
      <c r="D15" t="str">
        <f>IF(C15="","",VLOOKUP(A15,Projects!A:B,2,FALSE))</f>
        <v/>
      </c>
      <c r="E15" s="1" t="str">
        <f t="shared" si="0"/>
        <v/>
      </c>
      <c r="F15" t="str">
        <f t="shared" si="1"/>
        <v/>
      </c>
      <c r="G15" t="str">
        <f>IF(C15="","",ProcessUrl(E15,F15))</f>
        <v/>
      </c>
      <c r="H15" t="str">
        <f t="shared" si="2"/>
        <v/>
      </c>
      <c r="I15" t="str">
        <f t="shared" si="3"/>
        <v/>
      </c>
      <c r="J15" t="str">
        <f>IF(C15="","",ProcessUrl(H15,I15))</f>
        <v/>
      </c>
      <c r="K15" s="7" t="str">
        <f t="shared" si="4"/>
        <v/>
      </c>
      <c r="L15" s="7" t="str">
        <f t="shared" si="5"/>
        <v/>
      </c>
      <c r="M15" s="7" t="str">
        <f t="shared" si="6"/>
        <v/>
      </c>
      <c r="N15" s="7" t="str">
        <f t="shared" si="7"/>
        <v/>
      </c>
      <c r="O15" s="7" t="str">
        <f t="shared" si="8"/>
        <v/>
      </c>
      <c r="P15" t="str">
        <f t="shared" si="9"/>
        <v/>
      </c>
      <c r="Q15" t="str">
        <f>IF(C15="","",ProcessUrl(P15,"GetTestResults"))</f>
        <v/>
      </c>
      <c r="R15" s="10" t="str">
        <f>IF(C15="","",JsProcess("JsonItem",JsProcess("JsonItem",Q15,"Passed"),"count"))</f>
        <v/>
      </c>
      <c r="S15" s="10" t="str">
        <f>IF(C15="","",JsProcess("JsonItem",JsProcess("JsonItem",Q15,"NotExecuted"),"count"))</f>
        <v/>
      </c>
    </row>
    <row r="16" spans="1:19" x14ac:dyDescent="0.25">
      <c r="D16" t="str">
        <f>IF(C16="","",VLOOKUP(A16,Projects!A:B,2,FALSE))</f>
        <v/>
      </c>
      <c r="E16" s="1" t="str">
        <f t="shared" si="0"/>
        <v/>
      </c>
      <c r="F16" t="str">
        <f t="shared" si="1"/>
        <v/>
      </c>
      <c r="G16" t="str">
        <f>IF(C16="","",ProcessUrl(E16,F16))</f>
        <v/>
      </c>
      <c r="H16" t="str">
        <f t="shared" si="2"/>
        <v/>
      </c>
      <c r="I16" t="str">
        <f t="shared" si="3"/>
        <v/>
      </c>
      <c r="J16" t="str">
        <f>IF(C16="","",ProcessUrl(H16,I16))</f>
        <v/>
      </c>
      <c r="K16" s="7" t="str">
        <f t="shared" si="4"/>
        <v/>
      </c>
      <c r="L16" s="7" t="str">
        <f t="shared" si="5"/>
        <v/>
      </c>
      <c r="M16" s="7" t="str">
        <f t="shared" si="6"/>
        <v/>
      </c>
      <c r="N16" s="7" t="str">
        <f t="shared" si="7"/>
        <v/>
      </c>
      <c r="O16" s="7" t="str">
        <f t="shared" si="8"/>
        <v/>
      </c>
      <c r="P16" t="str">
        <f t="shared" si="9"/>
        <v/>
      </c>
      <c r="Q16" t="str">
        <f>IF(C16="","",ProcessUrl(P16,"GetTestResults"))</f>
        <v/>
      </c>
      <c r="R16" s="10" t="str">
        <f>IF(C16="","",JsProcess("JsonItem",JsProcess("JsonItem",Q16,"Passed"),"count"))</f>
        <v/>
      </c>
      <c r="S16" s="10" t="str">
        <f>IF(C16="","",JsProcess("JsonItem",JsProcess("JsonItem",Q16,"NotExecuted"),"count"))</f>
        <v/>
      </c>
    </row>
    <row r="17" spans="4:19" x14ac:dyDescent="0.25">
      <c r="D17" t="str">
        <f>IF(C17="","",VLOOKUP(A17,Projects!A:B,2,FALSE))</f>
        <v/>
      </c>
      <c r="E17" s="1" t="str">
        <f t="shared" si="0"/>
        <v/>
      </c>
      <c r="F17" t="str">
        <f t="shared" si="1"/>
        <v/>
      </c>
      <c r="G17" t="str">
        <f>IF(C17="","",ProcessUrl(E17,F17))</f>
        <v/>
      </c>
      <c r="H17" t="str">
        <f t="shared" si="2"/>
        <v/>
      </c>
      <c r="I17" t="str">
        <f t="shared" si="3"/>
        <v/>
      </c>
      <c r="J17" t="str">
        <f>IF(C17="","",ProcessUrl(H17,I17))</f>
        <v/>
      </c>
      <c r="K17" s="7" t="str">
        <f t="shared" si="4"/>
        <v/>
      </c>
      <c r="L17" s="7" t="str">
        <f t="shared" si="5"/>
        <v/>
      </c>
      <c r="M17" s="7" t="str">
        <f t="shared" si="6"/>
        <v/>
      </c>
      <c r="N17" s="7" t="str">
        <f t="shared" si="7"/>
        <v/>
      </c>
      <c r="O17" s="7" t="str">
        <f t="shared" si="8"/>
        <v/>
      </c>
      <c r="P17" t="str">
        <f t="shared" si="9"/>
        <v/>
      </c>
      <c r="Q17" t="str">
        <f>IF(C17="","",ProcessUrl(P17,"GetTestResults"))</f>
        <v/>
      </c>
      <c r="R17" s="10" t="str">
        <f>IF(C17="","",JsProcess("JsonItem",JsProcess("JsonItem",Q17,"Passed"),"count"))</f>
        <v/>
      </c>
      <c r="S17" s="10" t="str">
        <f>IF(C17="","",JsProcess("JsonItem",JsProcess("JsonItem",Q17,"NotExecuted"),"count"))</f>
        <v/>
      </c>
    </row>
    <row r="18" spans="4:19" x14ac:dyDescent="0.25">
      <c r="D18" t="str">
        <f>IF(C18="","",VLOOKUP(A18,Projects!A:B,2,FALSE))</f>
        <v/>
      </c>
      <c r="E18" s="1" t="str">
        <f t="shared" si="0"/>
        <v/>
      </c>
      <c r="F18" t="str">
        <f t="shared" si="1"/>
        <v/>
      </c>
      <c r="G18" t="str">
        <f>IF(C18="","",ProcessUrl(E18,F18))</f>
        <v/>
      </c>
      <c r="H18" t="str">
        <f t="shared" si="2"/>
        <v/>
      </c>
      <c r="I18" t="str">
        <f t="shared" si="3"/>
        <v/>
      </c>
      <c r="J18" t="str">
        <f>IF(C18="","",ProcessUrl(H18,I18))</f>
        <v/>
      </c>
      <c r="K18" s="7" t="str">
        <f t="shared" si="4"/>
        <v/>
      </c>
      <c r="L18" s="7" t="str">
        <f t="shared" si="5"/>
        <v/>
      </c>
      <c r="M18" s="7" t="str">
        <f t="shared" si="6"/>
        <v/>
      </c>
      <c r="N18" s="7" t="str">
        <f t="shared" si="7"/>
        <v/>
      </c>
      <c r="O18" s="7" t="str">
        <f t="shared" si="8"/>
        <v/>
      </c>
      <c r="P18" t="str">
        <f t="shared" si="9"/>
        <v/>
      </c>
      <c r="Q18" t="str">
        <f>IF(C18="","",ProcessUrl(P18,"GetTestResults"))</f>
        <v/>
      </c>
      <c r="R18" s="10" t="str">
        <f>IF(C18="","",JsProcess("JsonItem",JsProcess("JsonItem",Q18,"Passed"),"count"))</f>
        <v/>
      </c>
      <c r="S18" s="10" t="str">
        <f>IF(C18="","",JsProcess("JsonItem",JsProcess("JsonItem",Q18,"NotExecuted"),"count"))</f>
        <v/>
      </c>
    </row>
    <row r="19" spans="4:19" x14ac:dyDescent="0.25">
      <c r="D19" t="str">
        <f>IF(C19="","",VLOOKUP(A19,Projects!A:B,2,FALSE))</f>
        <v/>
      </c>
      <c r="E19" s="1" t="str">
        <f t="shared" si="0"/>
        <v/>
      </c>
      <c r="F19" t="str">
        <f t="shared" si="1"/>
        <v/>
      </c>
      <c r="G19" t="str">
        <f>IF(C19="","",ProcessUrl(E19,F19))</f>
        <v/>
      </c>
      <c r="H19" t="str">
        <f t="shared" si="2"/>
        <v/>
      </c>
      <c r="I19" t="str">
        <f t="shared" si="3"/>
        <v/>
      </c>
      <c r="J19" t="str">
        <f>IF(C19="","",ProcessUrl(H19,I19))</f>
        <v/>
      </c>
      <c r="K19" s="7" t="str">
        <f t="shared" si="4"/>
        <v/>
      </c>
      <c r="L19" s="7" t="str">
        <f t="shared" si="5"/>
        <v/>
      </c>
      <c r="M19" s="7" t="str">
        <f t="shared" si="6"/>
        <v/>
      </c>
      <c r="N19" s="7" t="str">
        <f t="shared" si="7"/>
        <v/>
      </c>
      <c r="O19" s="7" t="str">
        <f t="shared" si="8"/>
        <v/>
      </c>
      <c r="P19" t="str">
        <f t="shared" si="9"/>
        <v/>
      </c>
      <c r="Q19" t="str">
        <f>IF(C19="","",ProcessUrl(P19,"GetTestResults"))</f>
        <v/>
      </c>
      <c r="R19" s="10" t="str">
        <f>IF(C19="","",JsProcess("JsonItem",JsProcess("JsonItem",Q19,"Passed"),"count"))</f>
        <v/>
      </c>
      <c r="S19" s="10" t="str">
        <f>IF(C19="","",JsProcess("JsonItem",JsProcess("JsonItem",Q19,"NotExecuted"),"count"))</f>
        <v/>
      </c>
    </row>
    <row r="20" spans="4:19" x14ac:dyDescent="0.25">
      <c r="D20" t="str">
        <f>IF(C20="","",VLOOKUP(A20,Projects!A:B,2,FALSE))</f>
        <v/>
      </c>
      <c r="E20" s="1" t="str">
        <f t="shared" si="0"/>
        <v/>
      </c>
      <c r="F20" t="str">
        <f t="shared" si="1"/>
        <v/>
      </c>
      <c r="G20" t="str">
        <f>IF(C20="","",ProcessUrl(E20,F20))</f>
        <v/>
      </c>
      <c r="H20" t="str">
        <f t="shared" si="2"/>
        <v/>
      </c>
      <c r="I20" t="str">
        <f t="shared" si="3"/>
        <v/>
      </c>
      <c r="J20" t="str">
        <f>IF(C20="","",ProcessUrl(H20,I20))</f>
        <v/>
      </c>
      <c r="K20" s="7" t="str">
        <f t="shared" si="4"/>
        <v/>
      </c>
      <c r="L20" s="7" t="str">
        <f t="shared" si="5"/>
        <v/>
      </c>
      <c r="M20" s="7" t="str">
        <f t="shared" si="6"/>
        <v/>
      </c>
      <c r="N20" s="7" t="str">
        <f t="shared" si="7"/>
        <v/>
      </c>
      <c r="O20" s="7" t="str">
        <f t="shared" si="8"/>
        <v/>
      </c>
      <c r="P20" t="str">
        <f t="shared" si="9"/>
        <v/>
      </c>
      <c r="Q20" t="str">
        <f>IF(C20="","",ProcessUrl(P20,"GetTestResults"))</f>
        <v/>
      </c>
      <c r="R20" s="10" t="str">
        <f>IF(C20="","",JsProcess("JsonItem",JsProcess("JsonItem",Q20,"Passed"),"count"))</f>
        <v/>
      </c>
      <c r="S20" s="10" t="str">
        <f>IF(C20="","",JsProcess("JsonItem",JsProcess("JsonItem",Q20,"NotExecuted"),"count"))</f>
        <v/>
      </c>
    </row>
    <row r="21" spans="4:19" x14ac:dyDescent="0.25">
      <c r="D21" t="str">
        <f>IF(C21="","",VLOOKUP(A21,Projects!A:B,2,FALSE))</f>
        <v/>
      </c>
      <c r="E21" s="1" t="str">
        <f t="shared" si="0"/>
        <v/>
      </c>
      <c r="F21" t="str">
        <f t="shared" si="1"/>
        <v/>
      </c>
      <c r="G21" t="str">
        <f>IF(C21="","",ProcessUrl(E21,F21))</f>
        <v/>
      </c>
      <c r="H21" t="str">
        <f t="shared" si="2"/>
        <v/>
      </c>
      <c r="I21" t="str">
        <f t="shared" si="3"/>
        <v/>
      </c>
      <c r="J21" t="str">
        <f>IF(C21="","",ProcessUrl(H21,I21))</f>
        <v/>
      </c>
      <c r="K21" s="7" t="str">
        <f t="shared" si="4"/>
        <v/>
      </c>
      <c r="L21" s="7" t="str">
        <f t="shared" si="5"/>
        <v/>
      </c>
      <c r="M21" s="7" t="str">
        <f t="shared" si="6"/>
        <v/>
      </c>
      <c r="N21" s="7" t="str">
        <f t="shared" si="7"/>
        <v/>
      </c>
      <c r="O21" s="7" t="str">
        <f t="shared" si="8"/>
        <v/>
      </c>
      <c r="P21" t="str">
        <f t="shared" si="9"/>
        <v/>
      </c>
      <c r="Q21" t="str">
        <f>IF(C21="","",ProcessUrl(P21,"GetTestResults"))</f>
        <v/>
      </c>
      <c r="R21" s="10" t="str">
        <f>IF(C21="","",JsProcess("JsonItem",JsProcess("JsonItem",Q21,"Passed"),"count"))</f>
        <v/>
      </c>
      <c r="S21" s="10" t="str">
        <f>IF(C21="","",JsProcess("JsonItem",JsProcess("JsonItem",Q21,"NotExecuted"),"count"))</f>
        <v/>
      </c>
    </row>
    <row r="22" spans="4:19" x14ac:dyDescent="0.25">
      <c r="D22" t="str">
        <f>IF(C22="","",VLOOKUP(A22,Projects!A:B,2,FALSE))</f>
        <v/>
      </c>
      <c r="E22" s="1" t="str">
        <f t="shared" si="0"/>
        <v/>
      </c>
      <c r="F22" t="str">
        <f t="shared" si="1"/>
        <v/>
      </c>
      <c r="G22" t="str">
        <f>IF(C22="","",ProcessUrl(E22,F22))</f>
        <v/>
      </c>
      <c r="H22" t="str">
        <f t="shared" si="2"/>
        <v/>
      </c>
      <c r="I22" t="str">
        <f t="shared" si="3"/>
        <v/>
      </c>
      <c r="J22" t="str">
        <f>IF(C22="","",ProcessUrl(H22,I22))</f>
        <v/>
      </c>
      <c r="K22" s="7" t="str">
        <f t="shared" si="4"/>
        <v/>
      </c>
      <c r="L22" s="7" t="str">
        <f t="shared" si="5"/>
        <v/>
      </c>
      <c r="M22" s="7" t="str">
        <f t="shared" si="6"/>
        <v/>
      </c>
      <c r="N22" s="7" t="str">
        <f t="shared" si="7"/>
        <v/>
      </c>
      <c r="O22" s="7" t="str">
        <f t="shared" si="8"/>
        <v/>
      </c>
      <c r="P22" t="str">
        <f t="shared" si="9"/>
        <v/>
      </c>
      <c r="Q22" t="str">
        <f>IF(C22="","",ProcessUrl(P22,"GetTestResults"))</f>
        <v/>
      </c>
      <c r="R22" s="10" t="str">
        <f>IF(C22="","",JsProcess("JsonItem",JsProcess("JsonItem",Q22,"Passed"),"count"))</f>
        <v/>
      </c>
      <c r="S22" s="10" t="str">
        <f>IF(C22="","",JsProcess("JsonItem",JsProcess("JsonItem",Q22,"NotExecuted"),"count"))</f>
        <v/>
      </c>
    </row>
    <row r="23" spans="4:19" x14ac:dyDescent="0.25">
      <c r="D23" t="str">
        <f>IF(C23="","",VLOOKUP(A23,Projects!A:B,2,FALSE))</f>
        <v/>
      </c>
      <c r="E23" s="1" t="str">
        <f t="shared" si="0"/>
        <v/>
      </c>
      <c r="F23" t="str">
        <f t="shared" si="1"/>
        <v/>
      </c>
      <c r="G23" t="str">
        <f>IF(C23="","",ProcessUrl(E23,F23))</f>
        <v/>
      </c>
      <c r="H23" t="str">
        <f t="shared" si="2"/>
        <v/>
      </c>
      <c r="I23" t="str">
        <f t="shared" si="3"/>
        <v/>
      </c>
      <c r="J23" t="str">
        <f>IF(C23="","",ProcessUrl(H23,I23))</f>
        <v/>
      </c>
      <c r="K23" s="7" t="str">
        <f t="shared" si="4"/>
        <v/>
      </c>
      <c r="L23" s="7" t="str">
        <f t="shared" si="5"/>
        <v/>
      </c>
      <c r="M23" s="7" t="str">
        <f t="shared" si="6"/>
        <v/>
      </c>
      <c r="N23" s="7" t="str">
        <f t="shared" si="7"/>
        <v/>
      </c>
      <c r="O23" s="7" t="str">
        <f t="shared" si="8"/>
        <v/>
      </c>
      <c r="P23" t="str">
        <f t="shared" si="9"/>
        <v/>
      </c>
      <c r="Q23" t="str">
        <f>IF(C23="","",ProcessUrl(P23,"GetTestResults"))</f>
        <v/>
      </c>
      <c r="R23" s="10" t="str">
        <f>IF(C23="","",JsProcess("JsonItem",JsProcess("JsonItem",Q23,"Passed"),"count"))</f>
        <v/>
      </c>
      <c r="S23" s="10" t="str">
        <f>IF(C23="","",JsProcess("JsonItem",JsProcess("JsonItem",Q23,"NotExecuted"),"count"))</f>
        <v/>
      </c>
    </row>
    <row r="24" spans="4:19" x14ac:dyDescent="0.25">
      <c r="D24" t="str">
        <f>IF(C24="","",VLOOKUP(A24,Projects!A:B,2,FALSE))</f>
        <v/>
      </c>
      <c r="E24" s="1" t="str">
        <f t="shared" si="0"/>
        <v/>
      </c>
      <c r="F24" t="str">
        <f t="shared" si="1"/>
        <v/>
      </c>
      <c r="G24" t="str">
        <f>IF(C24="","",ProcessUrl(E24,F24))</f>
        <v/>
      </c>
      <c r="H24" t="str">
        <f t="shared" si="2"/>
        <v/>
      </c>
      <c r="I24" t="str">
        <f t="shared" si="3"/>
        <v/>
      </c>
      <c r="J24" t="str">
        <f>IF(C24="","",ProcessUrl(H24,I24))</f>
        <v/>
      </c>
      <c r="K24" s="7" t="str">
        <f t="shared" si="4"/>
        <v/>
      </c>
      <c r="L24" s="7" t="str">
        <f t="shared" si="5"/>
        <v/>
      </c>
      <c r="M24" s="7" t="str">
        <f t="shared" si="6"/>
        <v/>
      </c>
      <c r="N24" s="7" t="str">
        <f t="shared" si="7"/>
        <v/>
      </c>
      <c r="O24" s="7" t="str">
        <f t="shared" si="8"/>
        <v/>
      </c>
      <c r="P24" t="str">
        <f t="shared" si="9"/>
        <v/>
      </c>
      <c r="Q24" t="str">
        <f>IF(C24="","",ProcessUrl(P24,"GetTestResults"))</f>
        <v/>
      </c>
      <c r="R24" s="10" t="str">
        <f>IF(C24="","",JsProcess("JsonItem",JsProcess("JsonItem",Q24,"Passed"),"count"))</f>
        <v/>
      </c>
      <c r="S24" s="10" t="str">
        <f>IF(C24="","",JsProcess("JsonItem",JsProcess("JsonItem",Q24,"NotExecuted"),"count"))</f>
        <v/>
      </c>
    </row>
    <row r="25" spans="4:19" x14ac:dyDescent="0.25">
      <c r="D25" t="str">
        <f>IF(C25="","",VLOOKUP(A25,Projects!A:B,2,FALSE))</f>
        <v/>
      </c>
      <c r="E25" s="1" t="str">
        <f t="shared" si="0"/>
        <v/>
      </c>
      <c r="F25" t="str">
        <f t="shared" si="1"/>
        <v/>
      </c>
      <c r="G25" t="str">
        <f>IF(C25="","",ProcessUrl(E25,F25))</f>
        <v/>
      </c>
      <c r="H25" t="str">
        <f t="shared" si="2"/>
        <v/>
      </c>
      <c r="I25" t="str">
        <f t="shared" si="3"/>
        <v/>
      </c>
      <c r="J25" t="str">
        <f>IF(C25="","",ProcessUrl(H25,I25))</f>
        <v/>
      </c>
      <c r="K25" s="7" t="str">
        <f t="shared" si="4"/>
        <v/>
      </c>
      <c r="L25" s="7" t="str">
        <f t="shared" si="5"/>
        <v/>
      </c>
      <c r="M25" s="7" t="str">
        <f t="shared" si="6"/>
        <v/>
      </c>
      <c r="N25" s="7" t="str">
        <f t="shared" si="7"/>
        <v/>
      </c>
      <c r="O25" s="7" t="str">
        <f t="shared" si="8"/>
        <v/>
      </c>
      <c r="P25" t="str">
        <f t="shared" si="9"/>
        <v/>
      </c>
      <c r="Q25" t="str">
        <f>IF(C25="","",ProcessUrl(P25,"GetTestResults"))</f>
        <v/>
      </c>
      <c r="R25" s="10" t="str">
        <f>IF(C25="","",JsProcess("JsonItem",JsProcess("JsonItem",Q25,"Passed"),"count"))</f>
        <v/>
      </c>
      <c r="S25" s="10" t="str">
        <f>IF(C25="","",JsProcess("JsonItem",JsProcess("JsonItem",Q25,"NotExecuted"),"count"))</f>
        <v/>
      </c>
    </row>
    <row r="26" spans="4:19" x14ac:dyDescent="0.25">
      <c r="D26" t="str">
        <f>IF(C26="","",VLOOKUP(A26,Projects!A:B,2,FALSE))</f>
        <v/>
      </c>
      <c r="E26" s="1" t="str">
        <f t="shared" si="0"/>
        <v/>
      </c>
      <c r="F26" t="str">
        <f t="shared" si="1"/>
        <v/>
      </c>
      <c r="G26" t="str">
        <f>IF(C26="","",ProcessUrl(E26,F26))</f>
        <v/>
      </c>
      <c r="H26" t="str">
        <f t="shared" si="2"/>
        <v/>
      </c>
      <c r="I26" t="str">
        <f t="shared" si="3"/>
        <v/>
      </c>
      <c r="J26" t="str">
        <f>IF(C26="","",ProcessUrl(H26,I26))</f>
        <v/>
      </c>
      <c r="K26" s="7" t="str">
        <f t="shared" si="4"/>
        <v/>
      </c>
      <c r="L26" s="7" t="str">
        <f t="shared" si="5"/>
        <v/>
      </c>
      <c r="M26" s="7" t="str">
        <f t="shared" si="6"/>
        <v/>
      </c>
      <c r="N26" s="7" t="str">
        <f t="shared" si="7"/>
        <v/>
      </c>
      <c r="O26" s="7" t="str">
        <f t="shared" si="8"/>
        <v/>
      </c>
      <c r="P26" t="str">
        <f t="shared" si="9"/>
        <v/>
      </c>
      <c r="Q26" t="str">
        <f>IF(C26="","",ProcessUrl(P26,"GetTestResults"))</f>
        <v/>
      </c>
      <c r="R26" s="10" t="str">
        <f>IF(C26="","",JsProcess("JsonItem",JsProcess("JsonItem",Q26,"Passed"),"count"))</f>
        <v/>
      </c>
      <c r="S26" s="10" t="str">
        <f>IF(C26="","",JsProcess("JsonItem",JsProcess("JsonItem",Q26,"NotExecuted"),"count"))</f>
        <v/>
      </c>
    </row>
    <row r="27" spans="4:19" x14ac:dyDescent="0.25">
      <c r="D27" t="str">
        <f>IF(C27="","",VLOOKUP(A27,Projects!A:B,2,FALSE))</f>
        <v/>
      </c>
      <c r="E27" s="1" t="str">
        <f t="shared" si="0"/>
        <v/>
      </c>
      <c r="F27" t="str">
        <f t="shared" si="1"/>
        <v/>
      </c>
      <c r="G27" t="str">
        <f>IF(C27="","",ProcessUrl(E27,F27))</f>
        <v/>
      </c>
      <c r="H27" t="str">
        <f t="shared" si="2"/>
        <v/>
      </c>
      <c r="I27" t="str">
        <f t="shared" si="3"/>
        <v/>
      </c>
      <c r="J27" t="str">
        <f>IF(C27="","",ProcessUrl(H27,I27))</f>
        <v/>
      </c>
      <c r="K27" s="7" t="str">
        <f t="shared" si="4"/>
        <v/>
      </c>
      <c r="L27" s="7" t="str">
        <f t="shared" si="5"/>
        <v/>
      </c>
      <c r="M27" s="7" t="str">
        <f t="shared" si="6"/>
        <v/>
      </c>
      <c r="N27" s="7" t="str">
        <f t="shared" si="7"/>
        <v/>
      </c>
      <c r="O27" s="7" t="str">
        <f t="shared" si="8"/>
        <v/>
      </c>
      <c r="P27" t="str">
        <f t="shared" si="9"/>
        <v/>
      </c>
      <c r="Q27" t="str">
        <f>IF(C27="","",ProcessUrl(P27,"GetTestResults"))</f>
        <v/>
      </c>
      <c r="R27" s="10" t="str">
        <f>IF(C27="","",JsProcess("JsonItem",JsProcess("JsonItem",Q27,"Passed"),"count"))</f>
        <v/>
      </c>
      <c r="S27" s="10" t="str">
        <f>IF(C27="","",JsProcess("JsonItem",JsProcess("JsonItem",Q27,"NotExecuted"),"count"))</f>
        <v/>
      </c>
    </row>
    <row r="28" spans="4:19" x14ac:dyDescent="0.25">
      <c r="D28" t="str">
        <f>IF(C28="","",VLOOKUP(A28,Projects!A:B,2,FALSE))</f>
        <v/>
      </c>
      <c r="E28" s="1" t="str">
        <f t="shared" si="0"/>
        <v/>
      </c>
      <c r="F28" t="str">
        <f t="shared" si="1"/>
        <v/>
      </c>
      <c r="G28" t="str">
        <f>IF(C28="","",ProcessUrl(E28,F28))</f>
        <v/>
      </c>
      <c r="H28" t="str">
        <f t="shared" si="2"/>
        <v/>
      </c>
      <c r="I28" t="str">
        <f t="shared" si="3"/>
        <v/>
      </c>
      <c r="J28" t="str">
        <f>IF(C28="","",ProcessUrl(H28,I28))</f>
        <v/>
      </c>
      <c r="K28" s="7" t="str">
        <f t="shared" si="4"/>
        <v/>
      </c>
      <c r="L28" s="7" t="str">
        <f t="shared" si="5"/>
        <v/>
      </c>
      <c r="M28" s="7" t="str">
        <f t="shared" si="6"/>
        <v/>
      </c>
      <c r="N28" s="7" t="str">
        <f t="shared" si="7"/>
        <v/>
      </c>
      <c r="O28" s="7" t="str">
        <f t="shared" si="8"/>
        <v/>
      </c>
      <c r="P28" t="str">
        <f t="shared" si="9"/>
        <v/>
      </c>
      <c r="Q28" t="str">
        <f>IF(C28="","",ProcessUrl(P28,"GetTestResults"))</f>
        <v/>
      </c>
      <c r="R28" s="10" t="str">
        <f>IF(C28="","",JsProcess("JsonItem",JsProcess("JsonItem",Q28,"Passed"),"count"))</f>
        <v/>
      </c>
      <c r="S28" s="10" t="str">
        <f>IF(C28="","",JsProcess("JsonItem",JsProcess("JsonItem",Q28,"NotExecuted"),"count"))</f>
        <v/>
      </c>
    </row>
    <row r="29" spans="4:19" x14ac:dyDescent="0.25">
      <c r="D29" t="str">
        <f>IF(C29="","",VLOOKUP(A29,Projects!A:B,2,FALSE))</f>
        <v/>
      </c>
      <c r="E29" s="1" t="str">
        <f t="shared" si="0"/>
        <v/>
      </c>
      <c r="F29" t="str">
        <f t="shared" si="1"/>
        <v/>
      </c>
      <c r="G29" t="str">
        <f>IF(C29="","",ProcessUrl(E29,F29))</f>
        <v/>
      </c>
      <c r="H29" t="str">
        <f t="shared" si="2"/>
        <v/>
      </c>
      <c r="I29" t="str">
        <f t="shared" si="3"/>
        <v/>
      </c>
      <c r="J29" t="str">
        <f>IF(C29="","",ProcessUrl(H29,I29))</f>
        <v/>
      </c>
      <c r="K29" s="7" t="str">
        <f t="shared" si="4"/>
        <v/>
      </c>
      <c r="L29" s="7" t="str">
        <f t="shared" si="5"/>
        <v/>
      </c>
      <c r="M29" s="7" t="str">
        <f t="shared" si="6"/>
        <v/>
      </c>
      <c r="N29" s="7" t="str">
        <f t="shared" si="7"/>
        <v/>
      </c>
      <c r="O29" s="7" t="str">
        <f t="shared" si="8"/>
        <v/>
      </c>
      <c r="P29" t="str">
        <f t="shared" si="9"/>
        <v/>
      </c>
      <c r="Q29" t="str">
        <f>IF(C29="","",ProcessUrl(P29,"GetTestResults"))</f>
        <v/>
      </c>
      <c r="R29" s="10" t="str">
        <f>IF(C29="","",JsProcess("JsonItem",JsProcess("JsonItem",Q29,"Passed"),"count"))</f>
        <v/>
      </c>
      <c r="S29" s="10" t="str">
        <f>IF(C29="","",JsProcess("JsonItem",JsProcess("JsonItem",Q29,"NotExecuted"),"count"))</f>
        <v/>
      </c>
    </row>
    <row r="30" spans="4:19" x14ac:dyDescent="0.25">
      <c r="D30" t="str">
        <f>IF(C30="","",VLOOKUP(A30,Projects!A:B,2,FALSE))</f>
        <v/>
      </c>
      <c r="E30" s="1" t="str">
        <f t="shared" si="0"/>
        <v/>
      </c>
      <c r="F30" t="str">
        <f t="shared" si="1"/>
        <v/>
      </c>
      <c r="G30" t="str">
        <f>IF(C30="","",ProcessUrl(E30,F30))</f>
        <v/>
      </c>
      <c r="H30" t="str">
        <f t="shared" si="2"/>
        <v/>
      </c>
      <c r="I30" t="str">
        <f t="shared" si="3"/>
        <v/>
      </c>
      <c r="J30" t="str">
        <f>IF(C30="","",ProcessUrl(H30,I30))</f>
        <v/>
      </c>
      <c r="K30" s="7" t="str">
        <f t="shared" si="4"/>
        <v/>
      </c>
      <c r="L30" s="7" t="str">
        <f t="shared" si="5"/>
        <v/>
      </c>
      <c r="M30" s="7" t="str">
        <f t="shared" si="6"/>
        <v/>
      </c>
      <c r="N30" s="7" t="str">
        <f t="shared" si="7"/>
        <v/>
      </c>
      <c r="O30" s="7" t="str">
        <f t="shared" si="8"/>
        <v/>
      </c>
      <c r="P30" t="str">
        <f t="shared" si="9"/>
        <v/>
      </c>
      <c r="Q30" t="str">
        <f>IF(C30="","",ProcessUrl(P30,"GetTestResults"))</f>
        <v/>
      </c>
      <c r="R30" s="10" t="str">
        <f>IF(C30="","",JsProcess("JsonItem",JsProcess("JsonItem",Q30,"Passed"),"count"))</f>
        <v/>
      </c>
      <c r="S30" s="10" t="str">
        <f>IF(C30="","",JsProcess("JsonItem",JsProcess("JsonItem",Q30,"NotExecuted"),"count"))</f>
        <v/>
      </c>
    </row>
    <row r="31" spans="4:19" x14ac:dyDescent="0.25">
      <c r="D31" t="str">
        <f>IF(C31="","",VLOOKUP(A31,Projects!A:B,2,FALSE))</f>
        <v/>
      </c>
      <c r="E31" s="1" t="str">
        <f t="shared" si="0"/>
        <v/>
      </c>
      <c r="F31" t="str">
        <f t="shared" si="1"/>
        <v/>
      </c>
      <c r="G31" t="str">
        <f>IF(C31="","",ProcessUrl(E31,F31))</f>
        <v/>
      </c>
      <c r="H31" t="str">
        <f t="shared" si="2"/>
        <v/>
      </c>
      <c r="I31" t="str">
        <f t="shared" si="3"/>
        <v/>
      </c>
      <c r="J31" t="str">
        <f>IF(C31="","",ProcessUrl(H31,I31))</f>
        <v/>
      </c>
      <c r="K31" s="7" t="str">
        <f t="shared" si="4"/>
        <v/>
      </c>
      <c r="L31" s="7" t="str">
        <f t="shared" si="5"/>
        <v/>
      </c>
      <c r="M31" s="7" t="str">
        <f t="shared" si="6"/>
        <v/>
      </c>
      <c r="N31" s="7" t="str">
        <f t="shared" si="7"/>
        <v/>
      </c>
      <c r="O31" s="7" t="str">
        <f t="shared" si="8"/>
        <v/>
      </c>
      <c r="P31" t="str">
        <f t="shared" si="9"/>
        <v/>
      </c>
      <c r="Q31" t="str">
        <f>IF(C31="","",ProcessUrl(P31,"GetTestResults"))</f>
        <v/>
      </c>
      <c r="R31" s="10" t="str">
        <f>IF(C31="","",JsProcess("JsonItem",JsProcess("JsonItem",Q31,"Passed"),"count"))</f>
        <v/>
      </c>
      <c r="S31" s="10" t="str">
        <f>IF(C31="","",JsProcess("JsonItem",JsProcess("JsonItem",Q31,"NotExecuted"),"count"))</f>
        <v/>
      </c>
    </row>
    <row r="32" spans="4:19" x14ac:dyDescent="0.25">
      <c r="D32" t="str">
        <f>IF(C32="","",VLOOKUP(A32,Projects!A:B,2,FALSE))</f>
        <v/>
      </c>
      <c r="E32" s="1" t="str">
        <f t="shared" si="0"/>
        <v/>
      </c>
      <c r="F32" t="str">
        <f t="shared" si="1"/>
        <v/>
      </c>
      <c r="G32" t="str">
        <f>IF(C32="","",ProcessUrl(E32,F32))</f>
        <v/>
      </c>
      <c r="H32" t="str">
        <f t="shared" si="2"/>
        <v/>
      </c>
      <c r="I32" t="str">
        <f t="shared" si="3"/>
        <v/>
      </c>
      <c r="J32" t="str">
        <f>IF(C32="","",ProcessUrl(H32,I32))</f>
        <v/>
      </c>
      <c r="K32" s="7" t="str">
        <f t="shared" si="4"/>
        <v/>
      </c>
      <c r="L32" s="7" t="str">
        <f t="shared" si="5"/>
        <v/>
      </c>
      <c r="M32" s="7" t="str">
        <f t="shared" si="6"/>
        <v/>
      </c>
      <c r="N32" s="7" t="str">
        <f t="shared" si="7"/>
        <v/>
      </c>
      <c r="O32" s="7" t="str">
        <f t="shared" si="8"/>
        <v/>
      </c>
      <c r="P32" t="str">
        <f t="shared" si="9"/>
        <v/>
      </c>
      <c r="Q32" t="str">
        <f>IF(C32="","",ProcessUrl(P32,"GetTestResults"))</f>
        <v/>
      </c>
      <c r="R32" s="10" t="str">
        <f>IF(C32="","",JsProcess("JsonItem",JsProcess("JsonItem",Q32,"Passed"),"count"))</f>
        <v/>
      </c>
      <c r="S32" s="10" t="str">
        <f>IF(C32="","",JsProcess("JsonItem",JsProcess("JsonItem",Q32,"NotExecuted"),"count"))</f>
        <v/>
      </c>
    </row>
    <row r="33" spans="4:19" x14ac:dyDescent="0.25">
      <c r="D33" t="str">
        <f>IF(C33="","",VLOOKUP(A33,Projects!A:B,2,FALSE))</f>
        <v/>
      </c>
      <c r="E33" s="1" t="str">
        <f t="shared" si="0"/>
        <v/>
      </c>
      <c r="F33" t="str">
        <f t="shared" si="1"/>
        <v/>
      </c>
      <c r="G33" t="str">
        <f>IF(C33="","",ProcessUrl(E33,F33))</f>
        <v/>
      </c>
      <c r="H33" t="str">
        <f t="shared" si="2"/>
        <v/>
      </c>
      <c r="I33" t="str">
        <f t="shared" si="3"/>
        <v/>
      </c>
      <c r="J33" t="str">
        <f>IF(C33="","",ProcessUrl(H33,I33))</f>
        <v/>
      </c>
      <c r="K33" s="7" t="str">
        <f t="shared" si="4"/>
        <v/>
      </c>
      <c r="L33" s="7" t="str">
        <f t="shared" si="5"/>
        <v/>
      </c>
      <c r="M33" s="7" t="str">
        <f t="shared" si="6"/>
        <v/>
      </c>
      <c r="N33" s="7" t="str">
        <f t="shared" si="7"/>
        <v/>
      </c>
      <c r="O33" s="7" t="str">
        <f t="shared" si="8"/>
        <v/>
      </c>
      <c r="P33" t="str">
        <f t="shared" si="9"/>
        <v/>
      </c>
      <c r="Q33" t="str">
        <f>IF(C33="","",ProcessUrl(P33,"GetTestResults"))</f>
        <v/>
      </c>
      <c r="R33" s="10" t="str">
        <f>IF(C33="","",JsProcess("JsonItem",JsProcess("JsonItem",Q33,"Passed"),"count"))</f>
        <v/>
      </c>
      <c r="S33" s="10" t="str">
        <f>IF(C33="","",JsProcess("JsonItem",JsProcess("JsonItem",Q33,"NotExecuted"),"count"))</f>
        <v/>
      </c>
    </row>
    <row r="34" spans="4:19" x14ac:dyDescent="0.25">
      <c r="D34" t="str">
        <f>IF(C34="","",VLOOKUP(A34,Projects!A:B,2,FALSE))</f>
        <v/>
      </c>
      <c r="E34" s="1" t="str">
        <f t="shared" si="0"/>
        <v/>
      </c>
      <c r="F34" t="str">
        <f t="shared" si="1"/>
        <v/>
      </c>
      <c r="G34" t="str">
        <f>IF(C34="","",ProcessUrl(E34,F34))</f>
        <v/>
      </c>
      <c r="H34" t="str">
        <f t="shared" si="2"/>
        <v/>
      </c>
      <c r="I34" t="str">
        <f t="shared" si="3"/>
        <v/>
      </c>
      <c r="J34" t="str">
        <f>IF(C34="","",ProcessUrl(H34,I34))</f>
        <v/>
      </c>
      <c r="K34" s="7" t="str">
        <f t="shared" si="4"/>
        <v/>
      </c>
      <c r="L34" s="7" t="str">
        <f t="shared" si="5"/>
        <v/>
      </c>
      <c r="M34" s="7" t="str">
        <f t="shared" si="6"/>
        <v/>
      </c>
      <c r="N34" s="7" t="str">
        <f t="shared" si="7"/>
        <v/>
      </c>
      <c r="O34" s="7" t="str">
        <f t="shared" si="8"/>
        <v/>
      </c>
      <c r="P34" t="str">
        <f t="shared" si="9"/>
        <v/>
      </c>
      <c r="Q34" t="str">
        <f>IF(C34="","",ProcessUrl(P34,"GetTestResults"))</f>
        <v/>
      </c>
      <c r="R34" s="10" t="str">
        <f>IF(C34="","",JsProcess("JsonItem",JsProcess("JsonItem",Q34,"Passed"),"count"))</f>
        <v/>
      </c>
      <c r="S34" s="10" t="str">
        <f>IF(C34="","",JsProcess("JsonItem",JsProcess("JsonItem",Q34,"NotExecuted"),"count"))</f>
        <v/>
      </c>
    </row>
    <row r="35" spans="4:19" x14ac:dyDescent="0.25">
      <c r="D35" t="str">
        <f>IF(C35="","",VLOOKUP(A35,Projects!A:B,2,FALSE))</f>
        <v/>
      </c>
      <c r="E35" s="1" t="str">
        <f t="shared" si="0"/>
        <v/>
      </c>
      <c r="F35" t="str">
        <f t="shared" si="1"/>
        <v/>
      </c>
      <c r="G35" t="str">
        <f>IF(C35="","",ProcessUrl(E35,F35))</f>
        <v/>
      </c>
      <c r="H35" t="str">
        <f t="shared" si="2"/>
        <v/>
      </c>
      <c r="I35" t="str">
        <f t="shared" si="3"/>
        <v/>
      </c>
      <c r="J35" t="str">
        <f>IF(C35="","",ProcessUrl(H35,I35))</f>
        <v/>
      </c>
      <c r="K35" s="7" t="str">
        <f t="shared" si="4"/>
        <v/>
      </c>
      <c r="L35" s="7" t="str">
        <f t="shared" si="5"/>
        <v/>
      </c>
      <c r="M35" s="7" t="str">
        <f t="shared" si="6"/>
        <v/>
      </c>
      <c r="N35" s="7" t="str">
        <f t="shared" si="7"/>
        <v/>
      </c>
      <c r="O35" s="7" t="str">
        <f t="shared" si="8"/>
        <v/>
      </c>
      <c r="P35" t="str">
        <f t="shared" si="9"/>
        <v/>
      </c>
      <c r="Q35" t="str">
        <f>IF(C35="","",ProcessUrl(P35,"GetTestResults"))</f>
        <v/>
      </c>
      <c r="R35" s="10" t="str">
        <f>IF(C35="","",JsProcess("JsonItem",JsProcess("JsonItem",Q35,"Passed"),"count"))</f>
        <v/>
      </c>
      <c r="S35" s="10" t="str">
        <f>IF(C35="","",JsProcess("JsonItem",JsProcess("JsonItem",Q35,"NotExecuted"),"count"))</f>
        <v/>
      </c>
    </row>
    <row r="36" spans="4:19" x14ac:dyDescent="0.25">
      <c r="D36" t="str">
        <f>IF(C36="","",VLOOKUP(A36,Projects!A:B,2,FALSE))</f>
        <v/>
      </c>
      <c r="E36" s="1" t="str">
        <f t="shared" si="0"/>
        <v/>
      </c>
      <c r="F36" t="str">
        <f t="shared" si="1"/>
        <v/>
      </c>
      <c r="G36" t="str">
        <f>IF(C36="","",ProcessUrl(E36,F36))</f>
        <v/>
      </c>
      <c r="H36" t="str">
        <f t="shared" si="2"/>
        <v/>
      </c>
      <c r="I36" t="str">
        <f t="shared" si="3"/>
        <v/>
      </c>
      <c r="J36" t="str">
        <f>IF(C36="","",ProcessUrl(H36,I36))</f>
        <v/>
      </c>
      <c r="K36" s="7" t="str">
        <f t="shared" si="4"/>
        <v/>
      </c>
      <c r="L36" s="7" t="str">
        <f t="shared" si="5"/>
        <v/>
      </c>
      <c r="M36" s="7" t="str">
        <f t="shared" si="6"/>
        <v/>
      </c>
      <c r="N36" s="7" t="str">
        <f t="shared" si="7"/>
        <v/>
      </c>
      <c r="O36" s="7" t="str">
        <f t="shared" si="8"/>
        <v/>
      </c>
      <c r="P36" t="str">
        <f t="shared" si="9"/>
        <v/>
      </c>
      <c r="Q36" t="str">
        <f>IF(C36="","",ProcessUrl(P36,"GetTestResults"))</f>
        <v/>
      </c>
      <c r="R36" s="10" t="str">
        <f>IF(C36="","",JsProcess("JsonItem",JsProcess("JsonItem",Q36,"Passed"),"count"))</f>
        <v/>
      </c>
      <c r="S36" s="10" t="str">
        <f>IF(C36="","",JsProcess("JsonItem",JsProcess("JsonItem",Q36,"NotExecuted"),"count"))</f>
        <v/>
      </c>
    </row>
    <row r="37" spans="4:19" x14ac:dyDescent="0.25">
      <c r="D37" t="str">
        <f>IF(C37="","",VLOOKUP(A37,Projects!A:B,2,FALSE))</f>
        <v/>
      </c>
      <c r="E37" s="1" t="str">
        <f t="shared" si="0"/>
        <v/>
      </c>
      <c r="F37" t="str">
        <f t="shared" si="1"/>
        <v/>
      </c>
      <c r="G37" t="str">
        <f>IF(C37="","",ProcessUrl(E37,F37))</f>
        <v/>
      </c>
      <c r="H37" t="str">
        <f t="shared" si="2"/>
        <v/>
      </c>
      <c r="I37" t="str">
        <f t="shared" si="3"/>
        <v/>
      </c>
      <c r="J37" t="str">
        <f>IF(C37="","",ProcessUrl(H37,I37))</f>
        <v/>
      </c>
      <c r="K37" s="7" t="str">
        <f t="shared" si="4"/>
        <v/>
      </c>
      <c r="L37" s="7" t="str">
        <f t="shared" si="5"/>
        <v/>
      </c>
      <c r="M37" s="7" t="str">
        <f t="shared" si="6"/>
        <v/>
      </c>
      <c r="N37" s="7" t="str">
        <f t="shared" si="7"/>
        <v/>
      </c>
      <c r="O37" s="7" t="str">
        <f t="shared" si="8"/>
        <v/>
      </c>
      <c r="P37" t="str">
        <f t="shared" si="9"/>
        <v/>
      </c>
      <c r="Q37" t="str">
        <f>IF(C37="","",ProcessUrl(P37,"GetTestResults"))</f>
        <v/>
      </c>
      <c r="R37" s="10" t="str">
        <f>IF(C37="","",JsProcess("JsonItem",JsProcess("JsonItem",Q37,"Passed"),"count"))</f>
        <v/>
      </c>
      <c r="S37" s="10" t="str">
        <f>IF(C37="","",JsProcess("JsonItem",JsProcess("JsonItem",Q37,"NotExecuted"),"count"))</f>
        <v/>
      </c>
    </row>
    <row r="38" spans="4:19" x14ac:dyDescent="0.25">
      <c r="D38" t="str">
        <f>IF(C38="","",VLOOKUP(A38,Projects!A:B,2,FALSE))</f>
        <v/>
      </c>
      <c r="E38" s="1" t="str">
        <f t="shared" si="0"/>
        <v/>
      </c>
      <c r="F38" t="str">
        <f t="shared" si="1"/>
        <v/>
      </c>
      <c r="G38" t="str">
        <f>IF(C38="","",ProcessUrl(E38,F38))</f>
        <v/>
      </c>
      <c r="H38" t="str">
        <f t="shared" si="2"/>
        <v/>
      </c>
      <c r="I38" t="str">
        <f t="shared" si="3"/>
        <v/>
      </c>
      <c r="J38" t="str">
        <f>IF(C38="","",ProcessUrl(H38,I38))</f>
        <v/>
      </c>
      <c r="K38" s="7" t="str">
        <f t="shared" si="4"/>
        <v/>
      </c>
      <c r="L38" s="7" t="str">
        <f t="shared" si="5"/>
        <v/>
      </c>
      <c r="M38" s="7" t="str">
        <f t="shared" si="6"/>
        <v/>
      </c>
      <c r="N38" s="7" t="str">
        <f t="shared" si="7"/>
        <v/>
      </c>
      <c r="O38" s="7" t="str">
        <f t="shared" si="8"/>
        <v/>
      </c>
      <c r="P38" t="str">
        <f t="shared" si="9"/>
        <v/>
      </c>
      <c r="Q38" t="str">
        <f>IF(C38="","",ProcessUrl(P38,"GetTestResults"))</f>
        <v/>
      </c>
      <c r="R38" s="10" t="str">
        <f>IF(C38="","",JsProcess("JsonItem",JsProcess("JsonItem",Q38,"Passed"),"count"))</f>
        <v/>
      </c>
      <c r="S38" s="10" t="str">
        <f>IF(C38="","",JsProcess("JsonItem",JsProcess("JsonItem",Q38,"NotExecuted"),"count"))</f>
        <v/>
      </c>
    </row>
    <row r="39" spans="4:19" x14ac:dyDescent="0.25">
      <c r="D39" t="str">
        <f>IF(C39="","",VLOOKUP(A39,Projects!A:B,2,FALSE))</f>
        <v/>
      </c>
      <c r="E39" s="1" t="str">
        <f t="shared" si="0"/>
        <v/>
      </c>
      <c r="F39" t="str">
        <f t="shared" si="1"/>
        <v/>
      </c>
      <c r="G39" t="str">
        <f>IF(C39="","",ProcessUrl(E39,F39))</f>
        <v/>
      </c>
      <c r="H39" t="str">
        <f t="shared" si="2"/>
        <v/>
      </c>
      <c r="I39" t="str">
        <f t="shared" si="3"/>
        <v/>
      </c>
      <c r="J39" t="str">
        <f>IF(C39="","",ProcessUrl(H39,I39))</f>
        <v/>
      </c>
      <c r="K39" s="7" t="str">
        <f t="shared" si="4"/>
        <v/>
      </c>
      <c r="L39" s="7" t="str">
        <f t="shared" si="5"/>
        <v/>
      </c>
      <c r="M39" s="7" t="str">
        <f t="shared" si="6"/>
        <v/>
      </c>
      <c r="N39" s="7" t="str">
        <f t="shared" si="7"/>
        <v/>
      </c>
      <c r="O39" s="7" t="str">
        <f t="shared" si="8"/>
        <v/>
      </c>
      <c r="P39" t="str">
        <f t="shared" si="9"/>
        <v/>
      </c>
      <c r="Q39" t="str">
        <f>IF(C39="","",ProcessUrl(P39,"GetTestResults"))</f>
        <v/>
      </c>
      <c r="R39" s="10" t="str">
        <f>IF(C39="","",JsProcess("JsonItem",JsProcess("JsonItem",Q39,"Passed"),"count"))</f>
        <v/>
      </c>
      <c r="S39" s="10" t="str">
        <f>IF(C39="","",JsProcess("JsonItem",JsProcess("JsonItem",Q39,"NotExecuted"),"count"))</f>
        <v/>
      </c>
    </row>
    <row r="40" spans="4:19" x14ac:dyDescent="0.25">
      <c r="D40" t="str">
        <f>IF(C40="","",VLOOKUP(A40,Projects!A:B,2,FALSE))</f>
        <v/>
      </c>
      <c r="E40" s="1" t="str">
        <f t="shared" si="0"/>
        <v/>
      </c>
      <c r="F40" t="str">
        <f t="shared" si="1"/>
        <v/>
      </c>
      <c r="G40" t="str">
        <f>IF(C40="","",ProcessUrl(E40,F40))</f>
        <v/>
      </c>
      <c r="H40" t="str">
        <f t="shared" si="2"/>
        <v/>
      </c>
      <c r="I40" t="str">
        <f t="shared" si="3"/>
        <v/>
      </c>
      <c r="J40" t="str">
        <f>IF(C40="","",ProcessUrl(H40,I40))</f>
        <v/>
      </c>
      <c r="K40" s="7" t="str">
        <f t="shared" si="4"/>
        <v/>
      </c>
      <c r="L40" s="7" t="str">
        <f t="shared" si="5"/>
        <v/>
      </c>
      <c r="M40" s="7" t="str">
        <f t="shared" si="6"/>
        <v/>
      </c>
      <c r="N40" s="7" t="str">
        <f t="shared" si="7"/>
        <v/>
      </c>
      <c r="O40" s="7" t="str">
        <f t="shared" si="8"/>
        <v/>
      </c>
      <c r="P40" t="str">
        <f t="shared" si="9"/>
        <v/>
      </c>
      <c r="Q40" t="str">
        <f>IF(C40="","",ProcessUrl(P40,"GetTestResults"))</f>
        <v/>
      </c>
      <c r="R40" s="10" t="str">
        <f>IF(C40="","",JsProcess("JsonItem",JsProcess("JsonItem",Q40,"Passed"),"count"))</f>
        <v/>
      </c>
      <c r="S40" s="10" t="str">
        <f>IF(C40="","",JsProcess("JsonItem",JsProcess("JsonItem",Q40,"NotExecuted"),"count"))</f>
        <v/>
      </c>
    </row>
    <row r="41" spans="4:19" x14ac:dyDescent="0.25">
      <c r="D41" t="str">
        <f>IF(C41="","",VLOOKUP(A41,Projects!A:B,2,FALSE))</f>
        <v/>
      </c>
      <c r="E41" s="1" t="str">
        <f t="shared" si="0"/>
        <v/>
      </c>
      <c r="F41" t="str">
        <f t="shared" si="1"/>
        <v/>
      </c>
      <c r="G41" t="str">
        <f>IF(C41="","",ProcessUrl(E41,F41))</f>
        <v/>
      </c>
      <c r="H41" t="str">
        <f t="shared" si="2"/>
        <v/>
      </c>
      <c r="I41" t="str">
        <f t="shared" si="3"/>
        <v/>
      </c>
      <c r="J41" t="str">
        <f>IF(C41="","",ProcessUrl(H41,I41))</f>
        <v/>
      </c>
      <c r="K41" s="7" t="str">
        <f t="shared" si="4"/>
        <v/>
      </c>
      <c r="L41" s="7" t="str">
        <f t="shared" si="5"/>
        <v/>
      </c>
      <c r="M41" s="7" t="str">
        <f t="shared" si="6"/>
        <v/>
      </c>
      <c r="N41" s="7" t="str">
        <f t="shared" si="7"/>
        <v/>
      </c>
      <c r="O41" s="7" t="str">
        <f t="shared" si="8"/>
        <v/>
      </c>
      <c r="P41" t="str">
        <f t="shared" si="9"/>
        <v/>
      </c>
      <c r="Q41" t="str">
        <f>IF(C41="","",ProcessUrl(P41,"GetTestResults"))</f>
        <v/>
      </c>
      <c r="R41" s="10" t="str">
        <f>IF(C41="","",JsProcess("JsonItem",JsProcess("JsonItem",Q41,"Passed"),"count"))</f>
        <v/>
      </c>
      <c r="S41" s="10" t="str">
        <f>IF(C41="","",JsProcess("JsonItem",JsProcess("JsonItem",Q41,"NotExecuted"),"count"))</f>
        <v/>
      </c>
    </row>
    <row r="42" spans="4:19" x14ac:dyDescent="0.25">
      <c r="D42" t="str">
        <f>IF(C42="","",VLOOKUP(A42,Projects!A:B,2,FALSE))</f>
        <v/>
      </c>
      <c r="E42" s="1" t="str">
        <f t="shared" si="0"/>
        <v/>
      </c>
      <c r="F42" t="str">
        <f t="shared" si="1"/>
        <v/>
      </c>
      <c r="G42" t="str">
        <f>IF(C42="","",ProcessUrl(E42,F42))</f>
        <v/>
      </c>
      <c r="H42" t="str">
        <f t="shared" si="2"/>
        <v/>
      </c>
      <c r="I42" t="str">
        <f t="shared" si="3"/>
        <v/>
      </c>
      <c r="J42" t="str">
        <f>IF(C42="","",ProcessUrl(H42,I42))</f>
        <v/>
      </c>
      <c r="K42" s="7" t="str">
        <f t="shared" si="4"/>
        <v/>
      </c>
      <c r="L42" s="7" t="str">
        <f t="shared" si="5"/>
        <v/>
      </c>
      <c r="M42" s="7" t="str">
        <f t="shared" si="6"/>
        <v/>
      </c>
      <c r="N42" s="7" t="str">
        <f t="shared" si="7"/>
        <v/>
      </c>
      <c r="O42" s="7" t="str">
        <f t="shared" si="8"/>
        <v/>
      </c>
      <c r="P42" t="str">
        <f t="shared" si="9"/>
        <v/>
      </c>
      <c r="Q42" t="str">
        <f>IF(C42="","",ProcessUrl(P42,"GetTestResults"))</f>
        <v/>
      </c>
      <c r="R42" s="10" t="str">
        <f>IF(C42="","",JsProcess("JsonItem",JsProcess("JsonItem",Q42,"Passed"),"count"))</f>
        <v/>
      </c>
      <c r="S42" s="10" t="str">
        <f>IF(C42="","",JsProcess("JsonItem",JsProcess("JsonItem",Q42,"NotExecuted"),"count"))</f>
        <v/>
      </c>
    </row>
    <row r="43" spans="4:19" x14ac:dyDescent="0.25">
      <c r="D43" t="str">
        <f>IF(C43="","",VLOOKUP(A43,Projects!A:B,2,FALSE))</f>
        <v/>
      </c>
      <c r="E43" s="1" t="str">
        <f t="shared" si="0"/>
        <v/>
      </c>
      <c r="F43" t="str">
        <f t="shared" si="1"/>
        <v/>
      </c>
      <c r="G43" t="str">
        <f>IF(C43="","",ProcessUrl(E43,F43))</f>
        <v/>
      </c>
      <c r="H43" t="str">
        <f t="shared" si="2"/>
        <v/>
      </c>
      <c r="I43" t="str">
        <f t="shared" si="3"/>
        <v/>
      </c>
      <c r="J43" t="str">
        <f>IF(C43="","",ProcessUrl(H43,I43))</f>
        <v/>
      </c>
      <c r="K43" s="7" t="str">
        <f t="shared" si="4"/>
        <v/>
      </c>
      <c r="L43" s="7" t="str">
        <f t="shared" si="5"/>
        <v/>
      </c>
      <c r="M43" s="7" t="str">
        <f t="shared" si="6"/>
        <v/>
      </c>
      <c r="N43" s="7" t="str">
        <f t="shared" si="7"/>
        <v/>
      </c>
      <c r="O43" s="7" t="str">
        <f t="shared" si="8"/>
        <v/>
      </c>
      <c r="P43" t="str">
        <f t="shared" si="9"/>
        <v/>
      </c>
      <c r="Q43" t="str">
        <f>IF(C43="","",ProcessUrl(P43,"GetTestResults"))</f>
        <v/>
      </c>
      <c r="R43" s="10" t="str">
        <f>IF(C43="","",JsProcess("JsonItem",JsProcess("JsonItem",Q43,"Passed"),"count"))</f>
        <v/>
      </c>
      <c r="S43" s="10" t="str">
        <f>IF(C43="","",JsProcess("JsonItem",JsProcess("JsonItem",Q43,"NotExecuted"),"count"))</f>
        <v/>
      </c>
    </row>
    <row r="44" spans="4:19" x14ac:dyDescent="0.25">
      <c r="D44" t="str">
        <f>IF(C44="","",VLOOKUP(A44,Projects!A:B,2,FALSE))</f>
        <v/>
      </c>
      <c r="E44" s="1" t="str">
        <f t="shared" si="0"/>
        <v/>
      </c>
      <c r="F44" t="str">
        <f t="shared" si="1"/>
        <v/>
      </c>
      <c r="G44" t="str">
        <f>IF(C44="","",ProcessUrl(E44,F44))</f>
        <v/>
      </c>
      <c r="H44" t="str">
        <f t="shared" si="2"/>
        <v/>
      </c>
      <c r="I44" t="str">
        <f t="shared" si="3"/>
        <v/>
      </c>
      <c r="J44" t="str">
        <f>IF(C44="","",ProcessUrl(H44,I44))</f>
        <v/>
      </c>
      <c r="K44" s="7" t="str">
        <f t="shared" si="4"/>
        <v/>
      </c>
      <c r="L44" s="7" t="str">
        <f t="shared" si="5"/>
        <v/>
      </c>
      <c r="M44" s="7" t="str">
        <f t="shared" si="6"/>
        <v/>
      </c>
      <c r="N44" s="7" t="str">
        <f t="shared" si="7"/>
        <v/>
      </c>
      <c r="O44" s="7" t="str">
        <f t="shared" si="8"/>
        <v/>
      </c>
      <c r="P44" t="str">
        <f t="shared" si="9"/>
        <v/>
      </c>
      <c r="Q44" t="str">
        <f>IF(C44="","",ProcessUrl(P44,"GetTestResults"))</f>
        <v/>
      </c>
      <c r="R44" s="10" t="str">
        <f>IF(C44="","",JsProcess("JsonItem",JsProcess("JsonItem",Q44,"Passed"),"count"))</f>
        <v/>
      </c>
      <c r="S44" s="10" t="str">
        <f>IF(C44="","",JsProcess("JsonItem",JsProcess("JsonItem",Q44,"NotExecuted"),"count"))</f>
        <v/>
      </c>
    </row>
    <row r="45" spans="4:19" x14ac:dyDescent="0.25">
      <c r="D45" t="str">
        <f>IF(C45="","",VLOOKUP(A45,Projects!A:B,2,FALSE))</f>
        <v/>
      </c>
      <c r="E45" s="1" t="str">
        <f t="shared" si="0"/>
        <v/>
      </c>
      <c r="F45" t="str">
        <f t="shared" si="1"/>
        <v/>
      </c>
      <c r="G45" t="str">
        <f>IF(C45="","",ProcessUrl(E45,F45))</f>
        <v/>
      </c>
      <c r="H45" t="str">
        <f t="shared" si="2"/>
        <v/>
      </c>
      <c r="I45" t="str">
        <f t="shared" si="3"/>
        <v/>
      </c>
      <c r="J45" t="str">
        <f>IF(C45="","",ProcessUrl(H45,I45))</f>
        <v/>
      </c>
      <c r="K45" s="7" t="str">
        <f t="shared" si="4"/>
        <v/>
      </c>
      <c r="L45" s="7" t="str">
        <f t="shared" si="5"/>
        <v/>
      </c>
      <c r="M45" s="7" t="str">
        <f t="shared" si="6"/>
        <v/>
      </c>
      <c r="N45" s="7" t="str">
        <f t="shared" si="7"/>
        <v/>
      </c>
      <c r="O45" s="7" t="str">
        <f t="shared" si="8"/>
        <v/>
      </c>
      <c r="P45" t="str">
        <f t="shared" si="9"/>
        <v/>
      </c>
      <c r="Q45" t="str">
        <f>IF(C45="","",ProcessUrl(P45,"GetTestResults"))</f>
        <v/>
      </c>
      <c r="R45" s="10" t="str">
        <f>IF(C45="","",JsProcess("JsonItem",JsProcess("JsonItem",Q45,"Passed"),"count"))</f>
        <v/>
      </c>
      <c r="S45" s="10" t="str">
        <f>IF(C45="","",JsProcess("JsonItem",JsProcess("JsonItem",Q45,"NotExecuted"),"count"))</f>
        <v/>
      </c>
    </row>
    <row r="46" spans="4:19" x14ac:dyDescent="0.25">
      <c r="D46" t="str">
        <f>IF(C46="","",VLOOKUP(A46,Projects!A:B,2,FALSE))</f>
        <v/>
      </c>
      <c r="E46" s="1" t="str">
        <f t="shared" si="0"/>
        <v/>
      </c>
      <c r="F46" t="str">
        <f t="shared" si="1"/>
        <v/>
      </c>
      <c r="G46" t="str">
        <f>IF(C46="","",ProcessUrl(E46,F46))</f>
        <v/>
      </c>
      <c r="H46" t="str">
        <f t="shared" si="2"/>
        <v/>
      </c>
      <c r="I46" t="str">
        <f t="shared" si="3"/>
        <v/>
      </c>
      <c r="J46" t="str">
        <f>IF(C46="","",ProcessUrl(H46,I46))</f>
        <v/>
      </c>
      <c r="K46" s="7" t="str">
        <f t="shared" si="4"/>
        <v/>
      </c>
      <c r="L46" s="7" t="str">
        <f t="shared" si="5"/>
        <v/>
      </c>
      <c r="M46" s="7" t="str">
        <f t="shared" si="6"/>
        <v/>
      </c>
      <c r="N46" s="7" t="str">
        <f t="shared" si="7"/>
        <v/>
      </c>
      <c r="O46" s="7" t="str">
        <f t="shared" si="8"/>
        <v/>
      </c>
      <c r="P46" t="str">
        <f t="shared" si="9"/>
        <v/>
      </c>
      <c r="Q46" t="str">
        <f>IF(C46="","",ProcessUrl(P46,"GetTestResults"))</f>
        <v/>
      </c>
      <c r="R46" s="10" t="str">
        <f>IF(C46="","",JsProcess("JsonItem",JsProcess("JsonItem",Q46,"Passed"),"count"))</f>
        <v/>
      </c>
      <c r="S46" s="10" t="str">
        <f>IF(C46="","",JsProcess("JsonItem",JsProcess("JsonItem",Q46,"NotExecuted"),"count"))</f>
        <v/>
      </c>
    </row>
    <row r="47" spans="4:19" x14ac:dyDescent="0.25">
      <c r="D47" t="str">
        <f>IF(C47="","",VLOOKUP(A47,Projects!A:B,2,FALSE))</f>
        <v/>
      </c>
      <c r="E47" s="1" t="str">
        <f t="shared" si="0"/>
        <v/>
      </c>
      <c r="F47" t="str">
        <f t="shared" si="1"/>
        <v/>
      </c>
      <c r="G47" t="str">
        <f>IF(C47="","",ProcessUrl(E47,F47))</f>
        <v/>
      </c>
      <c r="H47" t="str">
        <f t="shared" si="2"/>
        <v/>
      </c>
      <c r="I47" t="str">
        <f t="shared" si="3"/>
        <v/>
      </c>
      <c r="J47" t="str">
        <f>IF(C47="","",ProcessUrl(H47,I47))</f>
        <v/>
      </c>
      <c r="K47" s="7" t="str">
        <f t="shared" si="4"/>
        <v/>
      </c>
      <c r="L47" s="7" t="str">
        <f t="shared" si="5"/>
        <v/>
      </c>
      <c r="M47" s="7" t="str">
        <f t="shared" si="6"/>
        <v/>
      </c>
      <c r="N47" s="7" t="str">
        <f t="shared" si="7"/>
        <v/>
      </c>
      <c r="O47" s="7" t="str">
        <f t="shared" si="8"/>
        <v/>
      </c>
      <c r="P47" t="str">
        <f t="shared" si="9"/>
        <v/>
      </c>
      <c r="Q47" t="str">
        <f>IF(C47="","",ProcessUrl(P47,"GetTestResults"))</f>
        <v/>
      </c>
      <c r="R47" s="10" t="str">
        <f>IF(C47="","",JsProcess("JsonItem",JsProcess("JsonItem",Q47,"Passed"),"count"))</f>
        <v/>
      </c>
      <c r="S47" s="10" t="str">
        <f>IF(C47="","",JsProcess("JsonItem",JsProcess("JsonItem",Q47,"NotExecuted"),"count"))</f>
        <v/>
      </c>
    </row>
    <row r="48" spans="4:19" x14ac:dyDescent="0.25">
      <c r="D48" t="str">
        <f>IF(C48="","",VLOOKUP(A48,Projects!A:B,2,FALSE))</f>
        <v/>
      </c>
      <c r="E48" s="1" t="str">
        <f t="shared" si="0"/>
        <v/>
      </c>
      <c r="F48" t="str">
        <f t="shared" si="1"/>
        <v/>
      </c>
      <c r="G48" t="str">
        <f>IF(C48="","",ProcessUrl(E48,F48))</f>
        <v/>
      </c>
      <c r="H48" t="str">
        <f t="shared" si="2"/>
        <v/>
      </c>
      <c r="I48" t="str">
        <f t="shared" si="3"/>
        <v/>
      </c>
      <c r="J48" t="str">
        <f>IF(C48="","",ProcessUrl(H48,I48))</f>
        <v/>
      </c>
      <c r="K48" s="7" t="str">
        <f t="shared" si="4"/>
        <v/>
      </c>
      <c r="L48" s="7" t="str">
        <f t="shared" si="5"/>
        <v/>
      </c>
      <c r="M48" s="7" t="str">
        <f t="shared" si="6"/>
        <v/>
      </c>
      <c r="N48" s="7" t="str">
        <f t="shared" si="7"/>
        <v/>
      </c>
      <c r="O48" s="7" t="str">
        <f t="shared" si="8"/>
        <v/>
      </c>
      <c r="P48" t="str">
        <f t="shared" si="9"/>
        <v/>
      </c>
      <c r="Q48" t="str">
        <f>IF(C48="","",ProcessUrl(P48,"GetTestResults"))</f>
        <v/>
      </c>
      <c r="R48" s="10" t="str">
        <f>IF(C48="","",JsProcess("JsonItem",JsProcess("JsonItem",Q48,"Passed"),"count"))</f>
        <v/>
      </c>
      <c r="S48" s="10" t="str">
        <f>IF(C48="","",JsProcess("JsonItem",JsProcess("JsonItem",Q48,"NotExecuted"),"count"))</f>
        <v/>
      </c>
    </row>
    <row r="49" spans="4:19" x14ac:dyDescent="0.25">
      <c r="D49" t="str">
        <f>IF(C49="","",VLOOKUP(A49,Projects!A:B,2,FALSE))</f>
        <v/>
      </c>
      <c r="E49" s="1" t="str">
        <f t="shared" si="0"/>
        <v/>
      </c>
      <c r="F49" t="str">
        <f t="shared" si="1"/>
        <v/>
      </c>
      <c r="G49" t="str">
        <f>IF(C49="","",ProcessUrl(E49,F49))</f>
        <v/>
      </c>
      <c r="H49" t="str">
        <f t="shared" si="2"/>
        <v/>
      </c>
      <c r="I49" t="str">
        <f t="shared" si="3"/>
        <v/>
      </c>
      <c r="J49" t="str">
        <f>IF(C49="","",ProcessUrl(H49,I49))</f>
        <v/>
      </c>
      <c r="K49" s="7" t="str">
        <f t="shared" si="4"/>
        <v/>
      </c>
      <c r="L49" s="7" t="str">
        <f t="shared" si="5"/>
        <v/>
      </c>
      <c r="M49" s="7" t="str">
        <f t="shared" si="6"/>
        <v/>
      </c>
      <c r="N49" s="7" t="str">
        <f t="shared" si="7"/>
        <v/>
      </c>
      <c r="O49" s="7" t="str">
        <f t="shared" si="8"/>
        <v/>
      </c>
      <c r="P49" t="str">
        <f t="shared" si="9"/>
        <v/>
      </c>
      <c r="Q49" t="str">
        <f>IF(C49="","",ProcessUrl(P49,"GetTestResults"))</f>
        <v/>
      </c>
      <c r="R49" s="10" t="str">
        <f>IF(C49="","",JsProcess("JsonItem",JsProcess("JsonItem",Q49,"Passed"),"count"))</f>
        <v/>
      </c>
      <c r="S49" s="10" t="str">
        <f>IF(C49="","",JsProcess("JsonItem",JsProcess("JsonItem",Q49,"NotExecuted"),"count"))</f>
        <v/>
      </c>
    </row>
    <row r="50" spans="4:19" x14ac:dyDescent="0.25">
      <c r="D50" t="str">
        <f>IF(C50="","",VLOOKUP(A50,Projects!A:B,2,FALSE))</f>
        <v/>
      </c>
      <c r="E50" s="1" t="str">
        <f t="shared" si="0"/>
        <v/>
      </c>
      <c r="F50" t="str">
        <f t="shared" si="1"/>
        <v/>
      </c>
      <c r="G50" t="str">
        <f>IF(C50="","",ProcessUrl(E50,F50))</f>
        <v/>
      </c>
      <c r="H50" t="str">
        <f t="shared" si="2"/>
        <v/>
      </c>
      <c r="I50" t="str">
        <f t="shared" si="3"/>
        <v/>
      </c>
      <c r="J50" t="str">
        <f>IF(C50="","",ProcessUrl(H50,I50))</f>
        <v/>
      </c>
      <c r="K50" s="7" t="str">
        <f t="shared" si="4"/>
        <v/>
      </c>
      <c r="L50" s="7" t="str">
        <f t="shared" si="5"/>
        <v/>
      </c>
      <c r="M50" s="7" t="str">
        <f t="shared" si="6"/>
        <v/>
      </c>
      <c r="N50" s="7" t="str">
        <f t="shared" si="7"/>
        <v/>
      </c>
      <c r="O50" s="7" t="str">
        <f t="shared" si="8"/>
        <v/>
      </c>
      <c r="P50" t="str">
        <f t="shared" si="9"/>
        <v/>
      </c>
      <c r="Q50" t="str">
        <f>IF(C50="","",ProcessUrl(P50,"GetTestResults"))</f>
        <v/>
      </c>
      <c r="R50" s="10" t="str">
        <f>IF(C50="","",JsProcess("JsonItem",JsProcess("JsonItem",Q50,"Passed"),"count"))</f>
        <v/>
      </c>
      <c r="S50" s="10" t="str">
        <f>IF(C50="","",JsProcess("JsonItem",JsProcess("JsonItem",Q50,"NotExecuted"),"count"))</f>
        <v/>
      </c>
    </row>
    <row r="51" spans="4:19" x14ac:dyDescent="0.25">
      <c r="D51" t="str">
        <f>IF(C51="","",VLOOKUP(A51,Projects!A:B,2,FALSE))</f>
        <v/>
      </c>
      <c r="E51" s="1" t="str">
        <f t="shared" si="0"/>
        <v/>
      </c>
      <c r="F51" t="str">
        <f t="shared" si="1"/>
        <v/>
      </c>
      <c r="G51" t="str">
        <f>IF(C51="","",ProcessUrl(E51,F51))</f>
        <v/>
      </c>
      <c r="H51" t="str">
        <f t="shared" si="2"/>
        <v/>
      </c>
      <c r="I51" t="str">
        <f t="shared" si="3"/>
        <v/>
      </c>
      <c r="J51" t="str">
        <f>IF(C51="","",ProcessUrl(H51,I51))</f>
        <v/>
      </c>
      <c r="K51" s="7" t="str">
        <f t="shared" si="4"/>
        <v/>
      </c>
      <c r="L51" s="7" t="str">
        <f t="shared" si="5"/>
        <v/>
      </c>
      <c r="M51" s="7" t="str">
        <f t="shared" si="6"/>
        <v/>
      </c>
      <c r="N51" s="7" t="str">
        <f t="shared" si="7"/>
        <v/>
      </c>
      <c r="O51" s="7" t="str">
        <f t="shared" si="8"/>
        <v/>
      </c>
      <c r="P51" t="str">
        <f t="shared" si="9"/>
        <v/>
      </c>
      <c r="Q51" t="str">
        <f>IF(C51="","",ProcessUrl(P51,"GetTestResults"))</f>
        <v/>
      </c>
      <c r="R51" s="10" t="str">
        <f>IF(C51="","",JsProcess("JsonItem",JsProcess("JsonItem",Q51,"Passed"),"count"))</f>
        <v/>
      </c>
      <c r="S51" s="10" t="str">
        <f>IF(C51="","",JsProcess("JsonItem",JsProcess("JsonItem",Q51,"NotExecuted"),"count"))</f>
        <v/>
      </c>
    </row>
    <row r="52" spans="4:19" x14ac:dyDescent="0.25">
      <c r="D52" t="str">
        <f>IF(C52="","",VLOOKUP(A52,Projects!A:B,2,FALSE))</f>
        <v/>
      </c>
      <c r="E52" s="1" t="str">
        <f t="shared" si="0"/>
        <v/>
      </c>
      <c r="F52" t="str">
        <f t="shared" si="1"/>
        <v/>
      </c>
      <c r="G52" t="str">
        <f>IF(C52="","",ProcessUrl(E52,F52))</f>
        <v/>
      </c>
      <c r="H52" t="str">
        <f t="shared" si="2"/>
        <v/>
      </c>
      <c r="I52" t="str">
        <f t="shared" si="3"/>
        <v/>
      </c>
      <c r="J52" t="str">
        <f>IF(C52="","",ProcessUrl(H52,I52))</f>
        <v/>
      </c>
      <c r="K52" s="7" t="str">
        <f t="shared" si="4"/>
        <v/>
      </c>
      <c r="L52" s="7" t="str">
        <f t="shared" si="5"/>
        <v/>
      </c>
      <c r="M52" s="7" t="str">
        <f t="shared" si="6"/>
        <v/>
      </c>
      <c r="N52" s="7" t="str">
        <f t="shared" si="7"/>
        <v/>
      </c>
      <c r="O52" s="7" t="str">
        <f t="shared" si="8"/>
        <v/>
      </c>
      <c r="P52" t="str">
        <f t="shared" si="9"/>
        <v/>
      </c>
      <c r="Q52" t="str">
        <f>IF(C52="","",ProcessUrl(P52,"GetTestResults"))</f>
        <v/>
      </c>
      <c r="R52" s="10" t="str">
        <f>IF(C52="","",JsProcess("JsonItem",JsProcess("JsonItem",Q52,"Passed"),"count"))</f>
        <v/>
      </c>
      <c r="S52" s="10" t="str">
        <f>IF(C52="","",JsProcess("JsonItem",JsProcess("JsonItem",Q52,"NotExecuted"),"count"))</f>
        <v/>
      </c>
    </row>
    <row r="53" spans="4:19" x14ac:dyDescent="0.25">
      <c r="D53" t="str">
        <f>IF(C53="","",VLOOKUP(A53,Projects!A:B,2,FALSE))</f>
        <v/>
      </c>
      <c r="E53" s="1" t="str">
        <f t="shared" si="0"/>
        <v/>
      </c>
      <c r="F53" t="str">
        <f t="shared" si="1"/>
        <v/>
      </c>
      <c r="G53" t="str">
        <f>IF(C53="","",ProcessUrl(E53,F53))</f>
        <v/>
      </c>
      <c r="H53" t="str">
        <f t="shared" si="2"/>
        <v/>
      </c>
      <c r="I53" t="str">
        <f t="shared" si="3"/>
        <v/>
      </c>
      <c r="J53" t="str">
        <f>IF(C53="","",ProcessUrl(H53,I53))</f>
        <v/>
      </c>
      <c r="K53" s="7" t="str">
        <f t="shared" si="4"/>
        <v/>
      </c>
      <c r="L53" s="7" t="str">
        <f t="shared" si="5"/>
        <v/>
      </c>
      <c r="M53" s="7" t="str">
        <f t="shared" si="6"/>
        <v/>
      </c>
      <c r="N53" s="7" t="str">
        <f t="shared" si="7"/>
        <v/>
      </c>
      <c r="O53" s="7" t="str">
        <f t="shared" si="8"/>
        <v/>
      </c>
      <c r="P53" t="str">
        <f t="shared" si="9"/>
        <v/>
      </c>
      <c r="Q53" t="str">
        <f>IF(C53="","",ProcessUrl(P53,"GetTestResults"))</f>
        <v/>
      </c>
      <c r="R53" s="10" t="str">
        <f>IF(C53="","",JsProcess("JsonItem",JsProcess("JsonItem",Q53,"Passed"),"count"))</f>
        <v/>
      </c>
      <c r="S53" s="10" t="str">
        <f>IF(C53="","",JsProcess("JsonItem",JsProcess("JsonItem",Q53,"NotExecuted"),"count"))</f>
        <v/>
      </c>
    </row>
    <row r="54" spans="4:19" x14ac:dyDescent="0.25">
      <c r="D54" t="str">
        <f>IF(C54="","",VLOOKUP(A54,Projects!A:B,2,FALSE))</f>
        <v/>
      </c>
      <c r="E54" s="1" t="str">
        <f t="shared" si="0"/>
        <v/>
      </c>
      <c r="F54" t="str">
        <f t="shared" si="1"/>
        <v/>
      </c>
      <c r="G54" t="str">
        <f>IF(C54="","",ProcessUrl(E54,F54))</f>
        <v/>
      </c>
      <c r="H54" t="str">
        <f t="shared" si="2"/>
        <v/>
      </c>
      <c r="I54" t="str">
        <f t="shared" si="3"/>
        <v/>
      </c>
      <c r="J54" t="str">
        <f>IF(C54="","",ProcessUrl(H54,I54))</f>
        <v/>
      </c>
      <c r="K54" s="7" t="str">
        <f t="shared" si="4"/>
        <v/>
      </c>
      <c r="L54" s="7" t="str">
        <f t="shared" si="5"/>
        <v/>
      </c>
      <c r="M54" s="7" t="str">
        <f t="shared" si="6"/>
        <v/>
      </c>
      <c r="N54" s="7" t="str">
        <f t="shared" si="7"/>
        <v/>
      </c>
      <c r="O54" s="7" t="str">
        <f t="shared" si="8"/>
        <v/>
      </c>
      <c r="P54" t="str">
        <f t="shared" si="9"/>
        <v/>
      </c>
      <c r="Q54" t="str">
        <f>IF(C54="","",ProcessUrl(P54,"GetTestResults"))</f>
        <v/>
      </c>
      <c r="R54" s="10" t="str">
        <f>IF(C54="","",JsProcess("JsonItem",JsProcess("JsonItem",Q54,"Passed"),"count"))</f>
        <v/>
      </c>
      <c r="S54" s="10" t="str">
        <f>IF(C54="","",JsProcess("JsonItem",JsProcess("JsonItem",Q54,"NotExecuted"),"count"))</f>
        <v/>
      </c>
    </row>
    <row r="55" spans="4:19" x14ac:dyDescent="0.25">
      <c r="D55" t="str">
        <f>IF(C55="","",VLOOKUP(A55,Projects!A:B,2,FALSE))</f>
        <v/>
      </c>
      <c r="E55" s="1" t="str">
        <f t="shared" si="0"/>
        <v/>
      </c>
      <c r="F55" t="str">
        <f t="shared" si="1"/>
        <v/>
      </c>
      <c r="G55" t="str">
        <f>IF(C55="","",ProcessUrl(E55,F55))</f>
        <v/>
      </c>
      <c r="H55" t="str">
        <f t="shared" si="2"/>
        <v/>
      </c>
      <c r="I55" t="str">
        <f t="shared" si="3"/>
        <v/>
      </c>
      <c r="J55" t="str">
        <f>IF(C55="","",ProcessUrl(H55,I55))</f>
        <v/>
      </c>
      <c r="K55" s="7" t="str">
        <f t="shared" si="4"/>
        <v/>
      </c>
      <c r="L55" s="7" t="str">
        <f t="shared" si="5"/>
        <v/>
      </c>
      <c r="M55" s="7" t="str">
        <f t="shared" si="6"/>
        <v/>
      </c>
      <c r="N55" s="7" t="str">
        <f t="shared" si="7"/>
        <v/>
      </c>
      <c r="O55" s="7" t="str">
        <f t="shared" si="8"/>
        <v/>
      </c>
      <c r="P55" t="str">
        <f t="shared" si="9"/>
        <v/>
      </c>
      <c r="Q55" t="str">
        <f>IF(C55="","",ProcessUrl(P55,"GetTestResults"))</f>
        <v/>
      </c>
      <c r="R55" s="10" t="str">
        <f>IF(C55="","",JsProcess("JsonItem",JsProcess("JsonItem",Q55,"Passed"),"count"))</f>
        <v/>
      </c>
      <c r="S55" s="10" t="str">
        <f>IF(C55="","",JsProcess("JsonItem",JsProcess("JsonItem",Q55,"NotExecuted"),"count"))</f>
        <v/>
      </c>
    </row>
    <row r="56" spans="4:19" x14ac:dyDescent="0.25">
      <c r="D56" t="str">
        <f>IF(C56="","",VLOOKUP(A56,Projects!A:B,2,FALSE))</f>
        <v/>
      </c>
      <c r="E56" s="1" t="str">
        <f t="shared" si="0"/>
        <v/>
      </c>
      <c r="F56" t="str">
        <f t="shared" si="1"/>
        <v/>
      </c>
      <c r="G56" t="str">
        <f>IF(C56="","",ProcessUrl(E56,F56))</f>
        <v/>
      </c>
      <c r="H56" t="str">
        <f t="shared" si="2"/>
        <v/>
      </c>
      <c r="I56" t="str">
        <f t="shared" si="3"/>
        <v/>
      </c>
      <c r="J56" t="str">
        <f>IF(C56="","",ProcessUrl(H56,I56))</f>
        <v/>
      </c>
      <c r="K56" s="7" t="str">
        <f t="shared" si="4"/>
        <v/>
      </c>
      <c r="L56" s="7" t="str">
        <f t="shared" si="5"/>
        <v/>
      </c>
      <c r="M56" s="7" t="str">
        <f t="shared" si="6"/>
        <v/>
      </c>
      <c r="N56" s="7" t="str">
        <f t="shared" si="7"/>
        <v/>
      </c>
      <c r="O56" s="7" t="str">
        <f t="shared" si="8"/>
        <v/>
      </c>
      <c r="P56" t="str">
        <f t="shared" si="9"/>
        <v/>
      </c>
      <c r="Q56" t="str">
        <f>IF(C56="","",ProcessUrl(P56,"GetTestResults"))</f>
        <v/>
      </c>
      <c r="R56" s="10" t="str">
        <f>IF(C56="","",JsProcess("JsonItem",JsProcess("JsonItem",Q56,"Passed"),"count"))</f>
        <v/>
      </c>
      <c r="S56" s="10" t="str">
        <f>IF(C56="","",JsProcess("JsonItem",JsProcess("JsonItem",Q56,"NotExecuted"),"count"))</f>
        <v/>
      </c>
    </row>
    <row r="57" spans="4:19" x14ac:dyDescent="0.25">
      <c r="D57" t="str">
        <f>IF(C57="","",VLOOKUP(A57,Projects!A:B,2,FALSE))</f>
        <v/>
      </c>
      <c r="E57" s="1" t="str">
        <f t="shared" si="0"/>
        <v/>
      </c>
      <c r="F57" t="str">
        <f t="shared" si="1"/>
        <v/>
      </c>
      <c r="G57" t="str">
        <f>IF(C57="","",ProcessUrl(E57,F57))</f>
        <v/>
      </c>
      <c r="H57" t="str">
        <f t="shared" si="2"/>
        <v/>
      </c>
      <c r="I57" t="str">
        <f t="shared" si="3"/>
        <v/>
      </c>
      <c r="J57" t="str">
        <f>IF(C57="","",ProcessUrl(H57,I57))</f>
        <v/>
      </c>
      <c r="K57" s="7" t="str">
        <f t="shared" si="4"/>
        <v/>
      </c>
      <c r="L57" s="7" t="str">
        <f t="shared" si="5"/>
        <v/>
      </c>
      <c r="M57" s="7" t="str">
        <f t="shared" si="6"/>
        <v/>
      </c>
      <c r="N57" s="7" t="str">
        <f t="shared" si="7"/>
        <v/>
      </c>
      <c r="O57" s="7" t="str">
        <f t="shared" si="8"/>
        <v/>
      </c>
      <c r="P57" t="str">
        <f t="shared" si="9"/>
        <v/>
      </c>
      <c r="Q57" t="str">
        <f>IF(C57="","",ProcessUrl(P57,"GetTestResults"))</f>
        <v/>
      </c>
      <c r="R57" s="10" t="str">
        <f>IF(C57="","",JsProcess("JsonItem",JsProcess("JsonItem",Q57,"Passed"),"count"))</f>
        <v/>
      </c>
      <c r="S57" s="10" t="str">
        <f>IF(C57="","",JsProcess("JsonItem",JsProcess("JsonItem",Q57,"NotExecuted"),"count"))</f>
        <v/>
      </c>
    </row>
    <row r="58" spans="4:19" x14ac:dyDescent="0.25">
      <c r="D58" t="str">
        <f>IF(C58="","",VLOOKUP(A58,Projects!A:B,2,FALSE))</f>
        <v/>
      </c>
      <c r="E58" s="1" t="str">
        <f t="shared" si="0"/>
        <v/>
      </c>
      <c r="F58" t="str">
        <f t="shared" si="1"/>
        <v/>
      </c>
      <c r="G58" t="str">
        <f>IF(C58="","",ProcessUrl(E58,F58))</f>
        <v/>
      </c>
      <c r="H58" t="str">
        <f t="shared" si="2"/>
        <v/>
      </c>
      <c r="I58" t="str">
        <f t="shared" si="3"/>
        <v/>
      </c>
      <c r="J58" t="str">
        <f>IF(C58="","",ProcessUrl(H58,I58))</f>
        <v/>
      </c>
      <c r="K58" s="7" t="str">
        <f t="shared" si="4"/>
        <v/>
      </c>
      <c r="L58" s="7" t="str">
        <f t="shared" si="5"/>
        <v/>
      </c>
      <c r="M58" s="7" t="str">
        <f t="shared" si="6"/>
        <v/>
      </c>
      <c r="N58" s="7" t="str">
        <f t="shared" si="7"/>
        <v/>
      </c>
      <c r="O58" s="7" t="str">
        <f t="shared" si="8"/>
        <v/>
      </c>
      <c r="P58" t="str">
        <f t="shared" si="9"/>
        <v/>
      </c>
      <c r="Q58" t="str">
        <f>IF(C58="","",ProcessUrl(P58,"GetTestResults"))</f>
        <v/>
      </c>
      <c r="R58" s="10" t="str">
        <f>IF(C58="","",JsProcess("JsonItem",JsProcess("JsonItem",Q58,"Passed"),"count"))</f>
        <v/>
      </c>
      <c r="S58" s="10" t="str">
        <f>IF(C58="","",JsProcess("JsonItem",JsProcess("JsonItem",Q58,"NotExecuted"),"count"))</f>
        <v/>
      </c>
    </row>
    <row r="59" spans="4:19" x14ac:dyDescent="0.25">
      <c r="D59" t="str">
        <f>IF(C59="","",VLOOKUP(A59,Projects!A:B,2,FALSE))</f>
        <v/>
      </c>
      <c r="E59" s="1" t="str">
        <f t="shared" si="0"/>
        <v/>
      </c>
      <c r="F59" t="str">
        <f t="shared" si="1"/>
        <v/>
      </c>
      <c r="G59" t="str">
        <f>IF(C59="","",ProcessUrl(E59,F59))</f>
        <v/>
      </c>
      <c r="H59" t="str">
        <f t="shared" si="2"/>
        <v/>
      </c>
      <c r="I59" t="str">
        <f t="shared" si="3"/>
        <v/>
      </c>
      <c r="J59" t="str">
        <f>IF(C59="","",ProcessUrl(H59,I59))</f>
        <v/>
      </c>
      <c r="K59" s="7" t="str">
        <f t="shared" si="4"/>
        <v/>
      </c>
      <c r="L59" s="7" t="str">
        <f t="shared" si="5"/>
        <v/>
      </c>
      <c r="M59" s="7" t="str">
        <f t="shared" si="6"/>
        <v/>
      </c>
      <c r="N59" s="7" t="str">
        <f t="shared" si="7"/>
        <v/>
      </c>
      <c r="O59" s="7" t="str">
        <f t="shared" si="8"/>
        <v/>
      </c>
      <c r="P59" t="str">
        <f t="shared" si="9"/>
        <v/>
      </c>
      <c r="Q59" t="str">
        <f>IF(C59="","",ProcessUrl(P59,"GetTestResults"))</f>
        <v/>
      </c>
      <c r="R59" s="10" t="str">
        <f>IF(C59="","",JsProcess("JsonItem",JsProcess("JsonItem",Q59,"Passed"),"count"))</f>
        <v/>
      </c>
      <c r="S59" s="10" t="str">
        <f>IF(C59="","",JsProcess("JsonItem",JsProcess("JsonItem",Q59,"NotExecuted"),"count"))</f>
        <v/>
      </c>
    </row>
    <row r="60" spans="4:19" x14ac:dyDescent="0.25">
      <c r="D60" t="str">
        <f>IF(C60="","",VLOOKUP(A60,Projects!A:B,2,FALSE))</f>
        <v/>
      </c>
      <c r="E60" s="1" t="str">
        <f t="shared" si="0"/>
        <v/>
      </c>
      <c r="F60" t="str">
        <f t="shared" si="1"/>
        <v/>
      </c>
      <c r="G60" t="str">
        <f>IF(C60="","",ProcessUrl(E60,F60))</f>
        <v/>
      </c>
      <c r="H60" t="str">
        <f t="shared" si="2"/>
        <v/>
      </c>
      <c r="I60" t="str">
        <f t="shared" si="3"/>
        <v/>
      </c>
      <c r="J60" t="str">
        <f>IF(C60="","",ProcessUrl(H60,I60))</f>
        <v/>
      </c>
      <c r="K60" s="7" t="str">
        <f t="shared" si="4"/>
        <v/>
      </c>
      <c r="L60" s="7" t="str">
        <f t="shared" si="5"/>
        <v/>
      </c>
      <c r="M60" s="7" t="str">
        <f t="shared" si="6"/>
        <v/>
      </c>
      <c r="N60" s="7" t="str">
        <f t="shared" si="7"/>
        <v/>
      </c>
      <c r="O60" s="7" t="str">
        <f t="shared" si="8"/>
        <v/>
      </c>
      <c r="P60" t="str">
        <f t="shared" si="9"/>
        <v/>
      </c>
      <c r="Q60" t="str">
        <f>IF(C60="","",ProcessUrl(P60,"GetTestResults"))</f>
        <v/>
      </c>
      <c r="R60" s="10" t="str">
        <f>IF(C60="","",JsProcess("JsonItem",JsProcess("JsonItem",Q60,"Passed"),"count"))</f>
        <v/>
      </c>
      <c r="S60" s="10" t="str">
        <f>IF(C60="","",JsProcess("JsonItem",JsProcess("JsonItem",Q60,"NotExecuted"),"count"))</f>
        <v/>
      </c>
    </row>
    <row r="61" spans="4:19" x14ac:dyDescent="0.25">
      <c r="D61" t="str">
        <f>IF(C61="","",VLOOKUP(A61,Projects!A:B,2,FALSE))</f>
        <v/>
      </c>
      <c r="E61" s="1" t="str">
        <f t="shared" si="0"/>
        <v/>
      </c>
      <c r="F61" t="str">
        <f t="shared" si="1"/>
        <v/>
      </c>
      <c r="G61" t="str">
        <f>IF(C61="","",ProcessUrl(E61,F61))</f>
        <v/>
      </c>
      <c r="H61" t="str">
        <f t="shared" si="2"/>
        <v/>
      </c>
      <c r="I61" t="str">
        <f t="shared" si="3"/>
        <v/>
      </c>
      <c r="J61" t="str">
        <f>IF(C61="","",ProcessUrl(H61,I61))</f>
        <v/>
      </c>
      <c r="K61" s="7" t="str">
        <f t="shared" si="4"/>
        <v/>
      </c>
      <c r="L61" s="7" t="str">
        <f t="shared" si="5"/>
        <v/>
      </c>
      <c r="M61" s="7" t="str">
        <f t="shared" si="6"/>
        <v/>
      </c>
      <c r="N61" s="7" t="str">
        <f t="shared" si="7"/>
        <v/>
      </c>
      <c r="O61" s="7" t="str">
        <f t="shared" si="8"/>
        <v/>
      </c>
      <c r="P61" t="str">
        <f t="shared" si="9"/>
        <v/>
      </c>
      <c r="Q61" t="str">
        <f>IF(C61="","",ProcessUrl(P61,"GetTestResults"))</f>
        <v/>
      </c>
      <c r="R61" s="10" t="str">
        <f>IF(C61="","",JsProcess("JsonItem",JsProcess("JsonItem",Q61,"Passed"),"count"))</f>
        <v/>
      </c>
      <c r="S61" s="10" t="str">
        <f>IF(C61="","",JsProcess("JsonItem",JsProcess("JsonItem",Q61,"NotExecuted"),"count"))</f>
        <v/>
      </c>
    </row>
    <row r="62" spans="4:19" x14ac:dyDescent="0.25">
      <c r="D62" t="str">
        <f>IF(C62="","",VLOOKUP(A62,Projects!A:B,2,FALSE))</f>
        <v/>
      </c>
      <c r="E62" s="1" t="str">
        <f t="shared" si="0"/>
        <v/>
      </c>
      <c r="F62" t="str">
        <f t="shared" si="1"/>
        <v/>
      </c>
      <c r="G62" t="str">
        <f>IF(C62="","",ProcessUrl(E62,F62))</f>
        <v/>
      </c>
      <c r="H62" t="str">
        <f t="shared" si="2"/>
        <v/>
      </c>
      <c r="I62" t="str">
        <f t="shared" si="3"/>
        <v/>
      </c>
      <c r="J62" t="str">
        <f>IF(C62="","",ProcessUrl(H62,I62))</f>
        <v/>
      </c>
      <c r="K62" s="7" t="str">
        <f t="shared" si="4"/>
        <v/>
      </c>
      <c r="L62" s="7" t="str">
        <f t="shared" si="5"/>
        <v/>
      </c>
      <c r="M62" s="7" t="str">
        <f t="shared" si="6"/>
        <v/>
      </c>
      <c r="N62" s="7" t="str">
        <f t="shared" si="7"/>
        <v/>
      </c>
      <c r="O62" s="7" t="str">
        <f t="shared" si="8"/>
        <v/>
      </c>
      <c r="P62" t="str">
        <f t="shared" si="9"/>
        <v/>
      </c>
      <c r="Q62" t="str">
        <f>IF(C62="","",ProcessUrl(P62,"GetTestResults"))</f>
        <v/>
      </c>
      <c r="R62" s="10" t="str">
        <f>IF(C62="","",JsProcess("JsonItem",JsProcess("JsonItem",Q62,"Passed"),"count"))</f>
        <v/>
      </c>
      <c r="S62" s="10" t="str">
        <f>IF(C62="","",JsProcess("JsonItem",JsProcess("JsonItem",Q62,"NotExecuted"),"count"))</f>
        <v/>
      </c>
    </row>
    <row r="63" spans="4:19" x14ac:dyDescent="0.25">
      <c r="D63" t="str">
        <f>IF(C63="","",VLOOKUP(A63,Projects!A:B,2,FALSE))</f>
        <v/>
      </c>
      <c r="E63" s="1" t="str">
        <f t="shared" si="0"/>
        <v/>
      </c>
      <c r="F63" t="str">
        <f t="shared" si="1"/>
        <v/>
      </c>
      <c r="G63" t="str">
        <f>IF(C63="","",ProcessUrl(E63,F63))</f>
        <v/>
      </c>
      <c r="H63" t="str">
        <f t="shared" si="2"/>
        <v/>
      </c>
      <c r="I63" t="str">
        <f t="shared" si="3"/>
        <v/>
      </c>
      <c r="J63" t="str">
        <f>IF(C63="","",ProcessUrl(H63,I63))</f>
        <v/>
      </c>
      <c r="K63" s="7" t="str">
        <f t="shared" si="4"/>
        <v/>
      </c>
      <c r="L63" s="7" t="str">
        <f t="shared" si="5"/>
        <v/>
      </c>
      <c r="M63" s="7" t="str">
        <f t="shared" si="6"/>
        <v/>
      </c>
      <c r="N63" s="7" t="str">
        <f t="shared" si="7"/>
        <v/>
      </c>
      <c r="O63" s="7" t="str">
        <f t="shared" si="8"/>
        <v/>
      </c>
      <c r="P63" t="str">
        <f t="shared" si="9"/>
        <v/>
      </c>
      <c r="Q63" t="str">
        <f>IF(C63="","",ProcessUrl(P63,"GetTestResults"))</f>
        <v/>
      </c>
      <c r="R63" s="10" t="str">
        <f>IF(C63="","",JsProcess("JsonItem",JsProcess("JsonItem",Q63,"Passed"),"count"))</f>
        <v/>
      </c>
      <c r="S63" s="10" t="str">
        <f>IF(C63="","",JsProcess("JsonItem",JsProcess("JsonItem",Q63,"NotExecuted"),"count"))</f>
        <v/>
      </c>
    </row>
    <row r="64" spans="4:19" x14ac:dyDescent="0.25">
      <c r="D64" t="str">
        <f>IF(C64="","",VLOOKUP(A64,Projects!A:B,2,FALSE))</f>
        <v/>
      </c>
      <c r="E64" s="1" t="str">
        <f t="shared" si="0"/>
        <v/>
      </c>
      <c r="F64" t="str">
        <f t="shared" si="1"/>
        <v/>
      </c>
      <c r="G64" t="str">
        <f>IF(C64="","",ProcessUrl(E64,F64))</f>
        <v/>
      </c>
      <c r="H64" t="str">
        <f t="shared" si="2"/>
        <v/>
      </c>
      <c r="I64" t="str">
        <f t="shared" si="3"/>
        <v/>
      </c>
      <c r="J64" t="str">
        <f>IF(C64="","",ProcessUrl(H64,I64))</f>
        <v/>
      </c>
      <c r="K64" s="7" t="str">
        <f t="shared" si="4"/>
        <v/>
      </c>
      <c r="L64" s="7" t="str">
        <f t="shared" si="5"/>
        <v/>
      </c>
      <c r="M64" s="7" t="str">
        <f t="shared" si="6"/>
        <v/>
      </c>
      <c r="N64" s="7" t="str">
        <f t="shared" si="7"/>
        <v/>
      </c>
      <c r="O64" s="7" t="str">
        <f t="shared" si="8"/>
        <v/>
      </c>
      <c r="P64" t="str">
        <f t="shared" si="9"/>
        <v/>
      </c>
      <c r="Q64" t="str">
        <f>IF(C64="","",ProcessUrl(P64,"GetTestResults"))</f>
        <v/>
      </c>
      <c r="R64" s="10" t="str">
        <f>IF(C64="","",JsProcess("JsonItem",JsProcess("JsonItem",Q64,"Passed"),"count"))</f>
        <v/>
      </c>
      <c r="S64" s="10" t="str">
        <f>IF(C64="","",JsProcess("JsonItem",JsProcess("JsonItem",Q64,"NotExecuted"),"count"))</f>
        <v/>
      </c>
    </row>
    <row r="65" spans="4:19" x14ac:dyDescent="0.25">
      <c r="D65" t="str">
        <f>IF(C65="","",VLOOKUP(A65,Projects!A:B,2,FALSE))</f>
        <v/>
      </c>
      <c r="E65" s="1" t="str">
        <f t="shared" si="0"/>
        <v/>
      </c>
      <c r="F65" t="str">
        <f t="shared" si="1"/>
        <v/>
      </c>
      <c r="G65" t="str">
        <f>IF(C65="","",ProcessUrl(E65,F65))</f>
        <v/>
      </c>
      <c r="H65" t="str">
        <f t="shared" si="2"/>
        <v/>
      </c>
      <c r="I65" t="str">
        <f t="shared" si="3"/>
        <v/>
      </c>
      <c r="J65" t="str">
        <f>IF(C65="","",ProcessUrl(H65,I65))</f>
        <v/>
      </c>
      <c r="K65" s="7" t="str">
        <f t="shared" si="4"/>
        <v/>
      </c>
      <c r="L65" s="7" t="str">
        <f t="shared" si="5"/>
        <v/>
      </c>
      <c r="M65" s="7" t="str">
        <f t="shared" si="6"/>
        <v/>
      </c>
      <c r="N65" s="7" t="str">
        <f t="shared" si="7"/>
        <v/>
      </c>
      <c r="O65" s="7" t="str">
        <f t="shared" si="8"/>
        <v/>
      </c>
      <c r="P65" t="str">
        <f t="shared" si="9"/>
        <v/>
      </c>
      <c r="Q65" t="str">
        <f>IF(C65="","",ProcessUrl(P65,"GetTestResults"))</f>
        <v/>
      </c>
      <c r="R65" s="10" t="str">
        <f>IF(C65="","",JsProcess("JsonItem",JsProcess("JsonItem",Q65,"Passed"),"count"))</f>
        <v/>
      </c>
      <c r="S65" s="10" t="str">
        <f>IF(C65="","",JsProcess("JsonItem",JsProcess("JsonItem",Q65,"NotExecuted"),"count"))</f>
        <v/>
      </c>
    </row>
    <row r="66" spans="4:19" x14ac:dyDescent="0.25">
      <c r="D66" t="str">
        <f>IF(C66="","",VLOOKUP(A66,Projects!A:B,2,FALSE))</f>
        <v/>
      </c>
      <c r="E66" s="1" t="str">
        <f t="shared" si="0"/>
        <v/>
      </c>
      <c r="F66" t="str">
        <f t="shared" si="1"/>
        <v/>
      </c>
      <c r="G66" t="str">
        <f>IF(C66="","",ProcessUrl(E66,F66))</f>
        <v/>
      </c>
      <c r="H66" t="str">
        <f t="shared" si="2"/>
        <v/>
      </c>
      <c r="I66" t="str">
        <f t="shared" si="3"/>
        <v/>
      </c>
      <c r="J66" t="str">
        <f>IF(C66="","",ProcessUrl(H66,I66))</f>
        <v/>
      </c>
      <c r="K66" s="7" t="str">
        <f t="shared" si="4"/>
        <v/>
      </c>
      <c r="L66" s="7" t="str">
        <f t="shared" si="5"/>
        <v/>
      </c>
      <c r="M66" s="7" t="str">
        <f t="shared" si="6"/>
        <v/>
      </c>
      <c r="N66" s="7" t="str">
        <f t="shared" si="7"/>
        <v/>
      </c>
      <c r="O66" s="7" t="str">
        <f t="shared" si="8"/>
        <v/>
      </c>
      <c r="P66" t="str">
        <f t="shared" si="9"/>
        <v/>
      </c>
      <c r="Q66" t="str">
        <f>IF(C66="","",ProcessUrl(P66,"GetTestResults"))</f>
        <v/>
      </c>
      <c r="R66" s="10" t="str">
        <f>IF(C66="","",JsProcess("JsonItem",JsProcess("JsonItem",Q66,"Passed"),"count"))</f>
        <v/>
      </c>
      <c r="S66" s="10" t="str">
        <f>IF(C66="","",JsProcess("JsonItem",JsProcess("JsonItem",Q66,"NotExecuted"),"count"))</f>
        <v/>
      </c>
    </row>
    <row r="67" spans="4:19" x14ac:dyDescent="0.25">
      <c r="D67" t="str">
        <f>IF(C67="","",VLOOKUP(A67,Projects!A:B,2,FALSE))</f>
        <v/>
      </c>
      <c r="E67" s="1" t="str">
        <f t="shared" si="0"/>
        <v/>
      </c>
      <c r="F67" t="str">
        <f t="shared" si="1"/>
        <v/>
      </c>
      <c r="G67" t="str">
        <f>IF(C67="","",ProcessUrl(E67,F67))</f>
        <v/>
      </c>
      <c r="H67" t="str">
        <f t="shared" si="2"/>
        <v/>
      </c>
      <c r="I67" t="str">
        <f t="shared" si="3"/>
        <v/>
      </c>
      <c r="J67" t="str">
        <f>IF(C67="","",ProcessUrl(H67,I67))</f>
        <v/>
      </c>
      <c r="K67" s="7" t="str">
        <f t="shared" si="4"/>
        <v/>
      </c>
      <c r="L67" s="7" t="str">
        <f t="shared" si="5"/>
        <v/>
      </c>
      <c r="M67" s="7" t="str">
        <f t="shared" si="6"/>
        <v/>
      </c>
      <c r="N67" s="7" t="str">
        <f t="shared" si="7"/>
        <v/>
      </c>
      <c r="O67" s="7" t="str">
        <f t="shared" si="8"/>
        <v/>
      </c>
      <c r="P67" t="str">
        <f t="shared" si="9"/>
        <v/>
      </c>
      <c r="Q67" t="str">
        <f>IF(C67="","",ProcessUrl(P67,"GetTestResults"))</f>
        <v/>
      </c>
      <c r="R67" s="10" t="str">
        <f>IF(C67="","",JsProcess("JsonItem",JsProcess("JsonItem",Q67,"Passed"),"count"))</f>
        <v/>
      </c>
      <c r="S67" s="10" t="str">
        <f>IF(C67="","",JsProcess("JsonItem",JsProcess("JsonItem",Q67,"NotExecuted"),"count"))</f>
        <v/>
      </c>
    </row>
    <row r="68" spans="4:19" x14ac:dyDescent="0.25">
      <c r="D68" t="str">
        <f>IF(C68="","",VLOOKUP(A68,Projects!A:B,2,FALSE))</f>
        <v/>
      </c>
      <c r="E68" s="1" t="str">
        <f t="shared" ref="E68:E131" si="10">IF(C68="","","http://tfs.ttx.com:8080/tfs/DefaultCollection/"&amp;D68&amp;"/_apis/build/Builds?%24top=25&amp;statusFilter=2&amp;definitions="&amp;C68)</f>
        <v/>
      </c>
      <c r="F68" t="str">
        <f t="shared" ref="F68:F131" si="11">IF(C68="","","GetRecentBuildId")</f>
        <v/>
      </c>
      <c r="G68" t="str">
        <f>IF(C68="","",ProcessUrl(E68,F68))</f>
        <v/>
      </c>
      <c r="H68" t="str">
        <f t="shared" ref="H68:H131" si="12">IF(C68="","","http://tfs.ttx.com:8080/tfs/DefaultCollection/"&amp;D68&amp;"/_apis/test/CodeCoverage?buildId="&amp;G68&amp;"&amp;flags=1")</f>
        <v/>
      </c>
      <c r="I68" t="str">
        <f t="shared" ref="I68:I131" si="13">IF(C68="","","GetCodeCoverage")</f>
        <v/>
      </c>
      <c r="J68" t="str">
        <f>IF(C68="","",ProcessUrl(H68,I68))</f>
        <v/>
      </c>
      <c r="K68" s="7" t="str">
        <f t="shared" ref="K68:K131" si="14">IF(C68="","",JsProcess("JsonItem",J68,"blocksCovered"))</f>
        <v/>
      </c>
      <c r="L68" s="7" t="str">
        <f t="shared" ref="L68:L131" si="15">IF(C68="","",JsProcess("JsonItem",J68,"blocksNotCovered"))</f>
        <v/>
      </c>
      <c r="M68" s="7" t="str">
        <f t="shared" ref="M68:M131" si="16">IF(C68="","",JsProcess("JsonItem",J68,"linesCovered"))</f>
        <v/>
      </c>
      <c r="N68" s="7" t="str">
        <f t="shared" ref="N68:N131" si="17">IF(C68="","",JsProcess("JsonItem",J68,"linesNotCovered"))</f>
        <v/>
      </c>
      <c r="O68" s="7" t="str">
        <f t="shared" ref="O68:O131" si="18">IF(C68="","",JsProcess("JsonItem",J68,"linesPartiallyCovered"))</f>
        <v/>
      </c>
      <c r="P68" t="str">
        <f t="shared" ref="P68:P131" si="19">IF(C68="","","http://tfs.ttx.com:8080/tfs/DefaultCollection/"&amp;A68&amp;"/_apis/test/ReportForBuild/"&amp;G68&amp;"?sourceWorkflow=CI&amp;includeFailureDetails=true ")</f>
        <v/>
      </c>
      <c r="Q68" t="str">
        <f>IF(C68="","",ProcessUrl(P68,"GetTestResults"))</f>
        <v/>
      </c>
      <c r="R68" s="10" t="str">
        <f>IF(C68="","",JsProcess("JsonItem",JsProcess("JsonItem",Q68,"Passed"),"count"))</f>
        <v/>
      </c>
      <c r="S68" s="10" t="str">
        <f>IF(C68="","",JsProcess("JsonItem",JsProcess("JsonItem",Q68,"NotExecuted"),"count"))</f>
        <v/>
      </c>
    </row>
    <row r="69" spans="4:19" x14ac:dyDescent="0.25">
      <c r="D69" t="str">
        <f>IF(C69="","",VLOOKUP(A69,Projects!A:B,2,FALSE))</f>
        <v/>
      </c>
      <c r="E69" s="1" t="str">
        <f t="shared" si="10"/>
        <v/>
      </c>
      <c r="F69" t="str">
        <f t="shared" si="11"/>
        <v/>
      </c>
      <c r="G69" t="str">
        <f>IF(C69="","",ProcessUrl(E69,F69))</f>
        <v/>
      </c>
      <c r="H69" t="str">
        <f t="shared" si="12"/>
        <v/>
      </c>
      <c r="I69" t="str">
        <f t="shared" si="13"/>
        <v/>
      </c>
      <c r="J69" t="str">
        <f>IF(C69="","",ProcessUrl(H69,I69))</f>
        <v/>
      </c>
      <c r="K69" s="7" t="str">
        <f t="shared" si="14"/>
        <v/>
      </c>
      <c r="L69" s="7" t="str">
        <f t="shared" si="15"/>
        <v/>
      </c>
      <c r="M69" s="7" t="str">
        <f t="shared" si="16"/>
        <v/>
      </c>
      <c r="N69" s="7" t="str">
        <f t="shared" si="17"/>
        <v/>
      </c>
      <c r="O69" s="7" t="str">
        <f t="shared" si="18"/>
        <v/>
      </c>
      <c r="P69" t="str">
        <f t="shared" si="19"/>
        <v/>
      </c>
      <c r="Q69" t="str">
        <f>IF(C69="","",ProcessUrl(P69,"GetTestResults"))</f>
        <v/>
      </c>
      <c r="R69" s="10" t="str">
        <f>IF(C69="","",JsProcess("JsonItem",JsProcess("JsonItem",Q69,"Passed"),"count"))</f>
        <v/>
      </c>
      <c r="S69" s="10" t="str">
        <f>IF(C69="","",JsProcess("JsonItem",JsProcess("JsonItem",Q69,"NotExecuted"),"count"))</f>
        <v/>
      </c>
    </row>
    <row r="70" spans="4:19" x14ac:dyDescent="0.25">
      <c r="D70" t="str">
        <f>IF(C70="","",VLOOKUP(A70,Projects!A:B,2,FALSE))</f>
        <v/>
      </c>
      <c r="E70" s="1" t="str">
        <f t="shared" si="10"/>
        <v/>
      </c>
      <c r="F70" t="str">
        <f t="shared" si="11"/>
        <v/>
      </c>
      <c r="G70" t="str">
        <f>IF(C70="","",ProcessUrl(E70,F70))</f>
        <v/>
      </c>
      <c r="H70" t="str">
        <f t="shared" si="12"/>
        <v/>
      </c>
      <c r="I70" t="str">
        <f t="shared" si="13"/>
        <v/>
      </c>
      <c r="J70" t="str">
        <f>IF(C70="","",ProcessUrl(H70,I70))</f>
        <v/>
      </c>
      <c r="K70" s="7" t="str">
        <f t="shared" si="14"/>
        <v/>
      </c>
      <c r="L70" s="7" t="str">
        <f t="shared" si="15"/>
        <v/>
      </c>
      <c r="M70" s="7" t="str">
        <f t="shared" si="16"/>
        <v/>
      </c>
      <c r="N70" s="7" t="str">
        <f t="shared" si="17"/>
        <v/>
      </c>
      <c r="O70" s="7" t="str">
        <f t="shared" si="18"/>
        <v/>
      </c>
      <c r="P70" t="str">
        <f t="shared" si="19"/>
        <v/>
      </c>
      <c r="Q70" t="str">
        <f>IF(C70="","",ProcessUrl(P70,"GetTestResults"))</f>
        <v/>
      </c>
      <c r="R70" s="10" t="str">
        <f>IF(C70="","",JsProcess("JsonItem",JsProcess("JsonItem",Q70,"Passed"),"count"))</f>
        <v/>
      </c>
      <c r="S70" s="10" t="str">
        <f>IF(C70="","",JsProcess("JsonItem",JsProcess("JsonItem",Q70,"NotExecuted"),"count"))</f>
        <v/>
      </c>
    </row>
    <row r="71" spans="4:19" x14ac:dyDescent="0.25">
      <c r="D71" t="str">
        <f>IF(C71="","",VLOOKUP(A71,Projects!A:B,2,FALSE))</f>
        <v/>
      </c>
      <c r="E71" s="1" t="str">
        <f t="shared" si="10"/>
        <v/>
      </c>
      <c r="F71" t="str">
        <f t="shared" si="11"/>
        <v/>
      </c>
      <c r="G71" t="str">
        <f>IF(C71="","",ProcessUrl(E71,F71))</f>
        <v/>
      </c>
      <c r="H71" t="str">
        <f t="shared" si="12"/>
        <v/>
      </c>
      <c r="I71" t="str">
        <f t="shared" si="13"/>
        <v/>
      </c>
      <c r="J71" t="str">
        <f>IF(C71="","",ProcessUrl(H71,I71))</f>
        <v/>
      </c>
      <c r="K71" s="7" t="str">
        <f t="shared" si="14"/>
        <v/>
      </c>
      <c r="L71" s="7" t="str">
        <f t="shared" si="15"/>
        <v/>
      </c>
      <c r="M71" s="7" t="str">
        <f t="shared" si="16"/>
        <v/>
      </c>
      <c r="N71" s="7" t="str">
        <f t="shared" si="17"/>
        <v/>
      </c>
      <c r="O71" s="7" t="str">
        <f t="shared" si="18"/>
        <v/>
      </c>
      <c r="P71" t="str">
        <f t="shared" si="19"/>
        <v/>
      </c>
      <c r="Q71" t="str">
        <f>IF(C71="","",ProcessUrl(P71,"GetTestResults"))</f>
        <v/>
      </c>
      <c r="R71" s="10" t="str">
        <f>IF(C71="","",JsProcess("JsonItem",JsProcess("JsonItem",Q71,"Passed"),"count"))</f>
        <v/>
      </c>
      <c r="S71" s="10" t="str">
        <f>IF(C71="","",JsProcess("JsonItem",JsProcess("JsonItem",Q71,"NotExecuted"),"count"))</f>
        <v/>
      </c>
    </row>
    <row r="72" spans="4:19" x14ac:dyDescent="0.25">
      <c r="D72" t="str">
        <f>IF(C72="","",VLOOKUP(A72,Projects!A:B,2,FALSE))</f>
        <v/>
      </c>
      <c r="E72" s="1" t="str">
        <f t="shared" si="10"/>
        <v/>
      </c>
      <c r="F72" t="str">
        <f t="shared" si="11"/>
        <v/>
      </c>
      <c r="G72" t="str">
        <f>IF(C72="","",ProcessUrl(E72,F72))</f>
        <v/>
      </c>
      <c r="H72" t="str">
        <f t="shared" si="12"/>
        <v/>
      </c>
      <c r="I72" t="str">
        <f t="shared" si="13"/>
        <v/>
      </c>
      <c r="J72" t="str">
        <f>IF(C72="","",ProcessUrl(H72,I72))</f>
        <v/>
      </c>
      <c r="K72" s="7" t="str">
        <f t="shared" si="14"/>
        <v/>
      </c>
      <c r="L72" s="7" t="str">
        <f t="shared" si="15"/>
        <v/>
      </c>
      <c r="M72" s="7" t="str">
        <f t="shared" si="16"/>
        <v/>
      </c>
      <c r="N72" s="7" t="str">
        <f t="shared" si="17"/>
        <v/>
      </c>
      <c r="O72" s="7" t="str">
        <f t="shared" si="18"/>
        <v/>
      </c>
      <c r="P72" t="str">
        <f t="shared" si="19"/>
        <v/>
      </c>
      <c r="Q72" t="str">
        <f>IF(C72="","",ProcessUrl(P72,"GetTestResults"))</f>
        <v/>
      </c>
      <c r="R72" s="10" t="str">
        <f>IF(C72="","",JsProcess("JsonItem",JsProcess("JsonItem",Q72,"Passed"),"count"))</f>
        <v/>
      </c>
      <c r="S72" s="10" t="str">
        <f>IF(C72="","",JsProcess("JsonItem",JsProcess("JsonItem",Q72,"NotExecuted"),"count"))</f>
        <v/>
      </c>
    </row>
    <row r="73" spans="4:19" x14ac:dyDescent="0.25">
      <c r="D73" t="str">
        <f>IF(C73="","",VLOOKUP(A73,Projects!A:B,2,FALSE))</f>
        <v/>
      </c>
      <c r="E73" s="1" t="str">
        <f t="shared" si="10"/>
        <v/>
      </c>
      <c r="F73" t="str">
        <f t="shared" si="11"/>
        <v/>
      </c>
      <c r="G73" t="str">
        <f>IF(C73="","",ProcessUrl(E73,F73))</f>
        <v/>
      </c>
      <c r="H73" t="str">
        <f t="shared" si="12"/>
        <v/>
      </c>
      <c r="I73" t="str">
        <f t="shared" si="13"/>
        <v/>
      </c>
      <c r="J73" t="str">
        <f>IF(C73="","",ProcessUrl(H73,I73))</f>
        <v/>
      </c>
      <c r="K73" s="7" t="str">
        <f t="shared" si="14"/>
        <v/>
      </c>
      <c r="L73" s="7" t="str">
        <f t="shared" si="15"/>
        <v/>
      </c>
      <c r="M73" s="7" t="str">
        <f t="shared" si="16"/>
        <v/>
      </c>
      <c r="N73" s="7" t="str">
        <f t="shared" si="17"/>
        <v/>
      </c>
      <c r="O73" s="7" t="str">
        <f t="shared" si="18"/>
        <v/>
      </c>
      <c r="P73" t="str">
        <f t="shared" si="19"/>
        <v/>
      </c>
      <c r="Q73" t="str">
        <f>IF(C73="","",ProcessUrl(P73,"GetTestResults"))</f>
        <v/>
      </c>
      <c r="R73" s="10" t="str">
        <f>IF(C73="","",JsProcess("JsonItem",JsProcess("JsonItem",Q73,"Passed"),"count"))</f>
        <v/>
      </c>
      <c r="S73" s="10" t="str">
        <f>IF(C73="","",JsProcess("JsonItem",JsProcess("JsonItem",Q73,"NotExecuted"),"count"))</f>
        <v/>
      </c>
    </row>
    <row r="74" spans="4:19" x14ac:dyDescent="0.25">
      <c r="D74" t="str">
        <f>IF(C74="","",VLOOKUP(A74,Projects!A:B,2,FALSE))</f>
        <v/>
      </c>
      <c r="E74" s="1" t="str">
        <f t="shared" si="10"/>
        <v/>
      </c>
      <c r="F74" t="str">
        <f t="shared" si="11"/>
        <v/>
      </c>
      <c r="G74" t="str">
        <f>IF(C74="","",ProcessUrl(E74,F74))</f>
        <v/>
      </c>
      <c r="H74" t="str">
        <f t="shared" si="12"/>
        <v/>
      </c>
      <c r="I74" t="str">
        <f t="shared" si="13"/>
        <v/>
      </c>
      <c r="J74" t="str">
        <f>IF(C74="","",ProcessUrl(H74,I74))</f>
        <v/>
      </c>
      <c r="K74" s="7" t="str">
        <f t="shared" si="14"/>
        <v/>
      </c>
      <c r="L74" s="7" t="str">
        <f t="shared" si="15"/>
        <v/>
      </c>
      <c r="M74" s="7" t="str">
        <f t="shared" si="16"/>
        <v/>
      </c>
      <c r="N74" s="7" t="str">
        <f t="shared" si="17"/>
        <v/>
      </c>
      <c r="O74" s="7" t="str">
        <f t="shared" si="18"/>
        <v/>
      </c>
      <c r="P74" t="str">
        <f t="shared" si="19"/>
        <v/>
      </c>
      <c r="Q74" t="str">
        <f>IF(C74="","",ProcessUrl(P74,"GetTestResults"))</f>
        <v/>
      </c>
      <c r="R74" s="10" t="str">
        <f>IF(C74="","",JsProcess("JsonItem",JsProcess("JsonItem",Q74,"Passed"),"count"))</f>
        <v/>
      </c>
      <c r="S74" s="10" t="str">
        <f>IF(C74="","",JsProcess("JsonItem",JsProcess("JsonItem",Q74,"NotExecuted"),"count"))</f>
        <v/>
      </c>
    </row>
    <row r="75" spans="4:19" x14ac:dyDescent="0.25">
      <c r="D75" t="str">
        <f>IF(C75="","",VLOOKUP(A75,Projects!A:B,2,FALSE))</f>
        <v/>
      </c>
      <c r="E75" s="1" t="str">
        <f t="shared" si="10"/>
        <v/>
      </c>
      <c r="F75" t="str">
        <f t="shared" si="11"/>
        <v/>
      </c>
      <c r="G75" t="str">
        <f>IF(C75="","",ProcessUrl(E75,F75))</f>
        <v/>
      </c>
      <c r="H75" t="str">
        <f t="shared" si="12"/>
        <v/>
      </c>
      <c r="I75" t="str">
        <f t="shared" si="13"/>
        <v/>
      </c>
      <c r="J75" t="str">
        <f>IF(C75="","",ProcessUrl(H75,I75))</f>
        <v/>
      </c>
      <c r="K75" s="7" t="str">
        <f t="shared" si="14"/>
        <v/>
      </c>
      <c r="L75" s="7" t="str">
        <f t="shared" si="15"/>
        <v/>
      </c>
      <c r="M75" s="7" t="str">
        <f t="shared" si="16"/>
        <v/>
      </c>
      <c r="N75" s="7" t="str">
        <f t="shared" si="17"/>
        <v/>
      </c>
      <c r="O75" s="7" t="str">
        <f t="shared" si="18"/>
        <v/>
      </c>
      <c r="P75" t="str">
        <f t="shared" si="19"/>
        <v/>
      </c>
      <c r="Q75" t="str">
        <f>IF(C75="","",ProcessUrl(P75,"GetTestResults"))</f>
        <v/>
      </c>
      <c r="R75" s="10" t="str">
        <f>IF(C75="","",JsProcess("JsonItem",JsProcess("JsonItem",Q75,"Passed"),"count"))</f>
        <v/>
      </c>
      <c r="S75" s="10" t="str">
        <f>IF(C75="","",JsProcess("JsonItem",JsProcess("JsonItem",Q75,"NotExecuted"),"count"))</f>
        <v/>
      </c>
    </row>
    <row r="76" spans="4:19" x14ac:dyDescent="0.25">
      <c r="D76" t="str">
        <f>IF(C76="","",VLOOKUP(A76,Projects!A:B,2,FALSE))</f>
        <v/>
      </c>
      <c r="E76" s="1" t="str">
        <f t="shared" si="10"/>
        <v/>
      </c>
      <c r="F76" t="str">
        <f t="shared" si="11"/>
        <v/>
      </c>
      <c r="G76" t="str">
        <f>IF(C76="","",ProcessUrl(E76,F76))</f>
        <v/>
      </c>
      <c r="H76" t="str">
        <f t="shared" si="12"/>
        <v/>
      </c>
      <c r="I76" t="str">
        <f t="shared" si="13"/>
        <v/>
      </c>
      <c r="J76" t="str">
        <f>IF(C76="","",ProcessUrl(H76,I76))</f>
        <v/>
      </c>
      <c r="K76" s="7" t="str">
        <f t="shared" si="14"/>
        <v/>
      </c>
      <c r="L76" s="7" t="str">
        <f t="shared" si="15"/>
        <v/>
      </c>
      <c r="M76" s="7" t="str">
        <f t="shared" si="16"/>
        <v/>
      </c>
      <c r="N76" s="7" t="str">
        <f t="shared" si="17"/>
        <v/>
      </c>
      <c r="O76" s="7" t="str">
        <f t="shared" si="18"/>
        <v/>
      </c>
      <c r="P76" t="str">
        <f t="shared" si="19"/>
        <v/>
      </c>
      <c r="Q76" t="str">
        <f>IF(C76="","",ProcessUrl(P76,"GetTestResults"))</f>
        <v/>
      </c>
      <c r="R76" s="10" t="str">
        <f>IF(C76="","",JsProcess("JsonItem",JsProcess("JsonItem",Q76,"Passed"),"count"))</f>
        <v/>
      </c>
      <c r="S76" s="10" t="str">
        <f>IF(C76="","",JsProcess("JsonItem",JsProcess("JsonItem",Q76,"NotExecuted"),"count"))</f>
        <v/>
      </c>
    </row>
    <row r="77" spans="4:19" x14ac:dyDescent="0.25">
      <c r="D77" t="str">
        <f>IF(C77="","",VLOOKUP(A77,Projects!A:B,2,FALSE))</f>
        <v/>
      </c>
      <c r="E77" s="1" t="str">
        <f t="shared" si="10"/>
        <v/>
      </c>
      <c r="F77" t="str">
        <f t="shared" si="11"/>
        <v/>
      </c>
      <c r="G77" t="str">
        <f>IF(C77="","",ProcessUrl(E77,F77))</f>
        <v/>
      </c>
      <c r="H77" t="str">
        <f t="shared" si="12"/>
        <v/>
      </c>
      <c r="I77" t="str">
        <f t="shared" si="13"/>
        <v/>
      </c>
      <c r="J77" t="str">
        <f>IF(C77="","",ProcessUrl(H77,I77))</f>
        <v/>
      </c>
      <c r="K77" s="7" t="str">
        <f t="shared" si="14"/>
        <v/>
      </c>
      <c r="L77" s="7" t="str">
        <f t="shared" si="15"/>
        <v/>
      </c>
      <c r="M77" s="7" t="str">
        <f t="shared" si="16"/>
        <v/>
      </c>
      <c r="N77" s="7" t="str">
        <f t="shared" si="17"/>
        <v/>
      </c>
      <c r="O77" s="7" t="str">
        <f t="shared" si="18"/>
        <v/>
      </c>
      <c r="P77" t="str">
        <f t="shared" si="19"/>
        <v/>
      </c>
      <c r="Q77" t="str">
        <f>IF(C77="","",ProcessUrl(P77,"GetTestResults"))</f>
        <v/>
      </c>
      <c r="R77" s="10" t="str">
        <f>IF(C77="","",JsProcess("JsonItem",JsProcess("JsonItem",Q77,"Passed"),"count"))</f>
        <v/>
      </c>
      <c r="S77" s="10" t="str">
        <f>IF(C77="","",JsProcess("JsonItem",JsProcess("JsonItem",Q77,"NotExecuted"),"count"))</f>
        <v/>
      </c>
    </row>
    <row r="78" spans="4:19" x14ac:dyDescent="0.25">
      <c r="D78" t="str">
        <f>IF(C78="","",VLOOKUP(A78,Projects!A:B,2,FALSE))</f>
        <v/>
      </c>
      <c r="E78" s="1" t="str">
        <f t="shared" si="10"/>
        <v/>
      </c>
      <c r="F78" t="str">
        <f t="shared" si="11"/>
        <v/>
      </c>
      <c r="G78" t="str">
        <f>IF(C78="","",ProcessUrl(E78,F78))</f>
        <v/>
      </c>
      <c r="H78" t="str">
        <f t="shared" si="12"/>
        <v/>
      </c>
      <c r="I78" t="str">
        <f t="shared" si="13"/>
        <v/>
      </c>
      <c r="J78" t="str">
        <f>IF(C78="","",ProcessUrl(H78,I78))</f>
        <v/>
      </c>
      <c r="K78" s="7" t="str">
        <f t="shared" si="14"/>
        <v/>
      </c>
      <c r="L78" s="7" t="str">
        <f t="shared" si="15"/>
        <v/>
      </c>
      <c r="M78" s="7" t="str">
        <f t="shared" si="16"/>
        <v/>
      </c>
      <c r="N78" s="7" t="str">
        <f t="shared" si="17"/>
        <v/>
      </c>
      <c r="O78" s="7" t="str">
        <f t="shared" si="18"/>
        <v/>
      </c>
      <c r="P78" t="str">
        <f t="shared" si="19"/>
        <v/>
      </c>
      <c r="Q78" t="str">
        <f>IF(C78="","",ProcessUrl(P78,"GetTestResults"))</f>
        <v/>
      </c>
      <c r="R78" s="10" t="str">
        <f>IF(C78="","",JsProcess("JsonItem",JsProcess("JsonItem",Q78,"Passed"),"count"))</f>
        <v/>
      </c>
      <c r="S78" s="10" t="str">
        <f>IF(C78="","",JsProcess("JsonItem",JsProcess("JsonItem",Q78,"NotExecuted"),"count"))</f>
        <v/>
      </c>
    </row>
    <row r="79" spans="4:19" x14ac:dyDescent="0.25">
      <c r="D79" t="str">
        <f>IF(C79="","",VLOOKUP(A79,Projects!A:B,2,FALSE))</f>
        <v/>
      </c>
      <c r="E79" s="1" t="str">
        <f t="shared" si="10"/>
        <v/>
      </c>
      <c r="F79" t="str">
        <f t="shared" si="11"/>
        <v/>
      </c>
      <c r="G79" t="str">
        <f>IF(C79="","",ProcessUrl(E79,F79))</f>
        <v/>
      </c>
      <c r="H79" t="str">
        <f t="shared" si="12"/>
        <v/>
      </c>
      <c r="I79" t="str">
        <f t="shared" si="13"/>
        <v/>
      </c>
      <c r="J79" t="str">
        <f>IF(C79="","",ProcessUrl(H79,I79))</f>
        <v/>
      </c>
      <c r="K79" s="7" t="str">
        <f t="shared" si="14"/>
        <v/>
      </c>
      <c r="L79" s="7" t="str">
        <f t="shared" si="15"/>
        <v/>
      </c>
      <c r="M79" s="7" t="str">
        <f t="shared" si="16"/>
        <v/>
      </c>
      <c r="N79" s="7" t="str">
        <f t="shared" si="17"/>
        <v/>
      </c>
      <c r="O79" s="7" t="str">
        <f t="shared" si="18"/>
        <v/>
      </c>
      <c r="P79" t="str">
        <f t="shared" si="19"/>
        <v/>
      </c>
      <c r="Q79" t="str">
        <f>IF(C79="","",ProcessUrl(P79,"GetTestResults"))</f>
        <v/>
      </c>
      <c r="R79" s="10" t="str">
        <f>IF(C79="","",JsProcess("JsonItem",JsProcess("JsonItem",Q79,"Passed"),"count"))</f>
        <v/>
      </c>
      <c r="S79" s="10" t="str">
        <f>IF(C79="","",JsProcess("JsonItem",JsProcess("JsonItem",Q79,"NotExecuted"),"count"))</f>
        <v/>
      </c>
    </row>
    <row r="80" spans="4:19" x14ac:dyDescent="0.25">
      <c r="D80" t="str">
        <f>IF(C80="","",VLOOKUP(A80,Projects!A:B,2,FALSE))</f>
        <v/>
      </c>
      <c r="E80" s="1" t="str">
        <f t="shared" si="10"/>
        <v/>
      </c>
      <c r="F80" t="str">
        <f t="shared" si="11"/>
        <v/>
      </c>
      <c r="G80" t="str">
        <f>IF(C80="","",ProcessUrl(E80,F80))</f>
        <v/>
      </c>
      <c r="H80" t="str">
        <f t="shared" si="12"/>
        <v/>
      </c>
      <c r="I80" t="str">
        <f t="shared" si="13"/>
        <v/>
      </c>
      <c r="J80" t="str">
        <f>IF(C80="","",ProcessUrl(H80,I80))</f>
        <v/>
      </c>
      <c r="K80" s="7" t="str">
        <f t="shared" si="14"/>
        <v/>
      </c>
      <c r="L80" s="7" t="str">
        <f t="shared" si="15"/>
        <v/>
      </c>
      <c r="M80" s="7" t="str">
        <f t="shared" si="16"/>
        <v/>
      </c>
      <c r="N80" s="7" t="str">
        <f t="shared" si="17"/>
        <v/>
      </c>
      <c r="O80" s="7" t="str">
        <f t="shared" si="18"/>
        <v/>
      </c>
      <c r="P80" t="str">
        <f t="shared" si="19"/>
        <v/>
      </c>
      <c r="Q80" t="str">
        <f>IF(C80="","",ProcessUrl(P80,"GetTestResults"))</f>
        <v/>
      </c>
      <c r="R80" s="10" t="str">
        <f>IF(C80="","",JsProcess("JsonItem",JsProcess("JsonItem",Q80,"Passed"),"count"))</f>
        <v/>
      </c>
      <c r="S80" s="10" t="str">
        <f>IF(C80="","",JsProcess("JsonItem",JsProcess("JsonItem",Q80,"NotExecuted"),"count"))</f>
        <v/>
      </c>
    </row>
    <row r="81" spans="4:19" x14ac:dyDescent="0.25">
      <c r="D81" t="str">
        <f>IF(C81="","",VLOOKUP(A81,Projects!A:B,2,FALSE))</f>
        <v/>
      </c>
      <c r="E81" s="1" t="str">
        <f t="shared" si="10"/>
        <v/>
      </c>
      <c r="F81" t="str">
        <f t="shared" si="11"/>
        <v/>
      </c>
      <c r="G81" t="str">
        <f>IF(C81="","",ProcessUrl(E81,F81))</f>
        <v/>
      </c>
      <c r="H81" t="str">
        <f t="shared" si="12"/>
        <v/>
      </c>
      <c r="I81" t="str">
        <f t="shared" si="13"/>
        <v/>
      </c>
      <c r="J81" t="str">
        <f>IF(C81="","",ProcessUrl(H81,I81))</f>
        <v/>
      </c>
      <c r="K81" s="7" t="str">
        <f t="shared" si="14"/>
        <v/>
      </c>
      <c r="L81" s="7" t="str">
        <f t="shared" si="15"/>
        <v/>
      </c>
      <c r="M81" s="7" t="str">
        <f t="shared" si="16"/>
        <v/>
      </c>
      <c r="N81" s="7" t="str">
        <f t="shared" si="17"/>
        <v/>
      </c>
      <c r="O81" s="7" t="str">
        <f t="shared" si="18"/>
        <v/>
      </c>
      <c r="P81" t="str">
        <f t="shared" si="19"/>
        <v/>
      </c>
      <c r="Q81" t="str">
        <f>IF(C81="","",ProcessUrl(P81,"GetTestResults"))</f>
        <v/>
      </c>
      <c r="R81" s="10" t="str">
        <f>IF(C81="","",JsProcess("JsonItem",JsProcess("JsonItem",Q81,"Passed"),"count"))</f>
        <v/>
      </c>
      <c r="S81" s="10" t="str">
        <f>IF(C81="","",JsProcess("JsonItem",JsProcess("JsonItem",Q81,"NotExecuted"),"count"))</f>
        <v/>
      </c>
    </row>
    <row r="82" spans="4:19" x14ac:dyDescent="0.25">
      <c r="D82" t="str">
        <f>IF(C82="","",VLOOKUP(A82,Projects!A:B,2,FALSE))</f>
        <v/>
      </c>
      <c r="E82" s="1" t="str">
        <f t="shared" si="10"/>
        <v/>
      </c>
      <c r="F82" t="str">
        <f t="shared" si="11"/>
        <v/>
      </c>
      <c r="G82" t="str">
        <f>IF(C82="","",ProcessUrl(E82,F82))</f>
        <v/>
      </c>
      <c r="H82" t="str">
        <f t="shared" si="12"/>
        <v/>
      </c>
      <c r="I82" t="str">
        <f t="shared" si="13"/>
        <v/>
      </c>
      <c r="J82" t="str">
        <f>IF(C82="","",ProcessUrl(H82,I82))</f>
        <v/>
      </c>
      <c r="K82" s="7" t="str">
        <f t="shared" si="14"/>
        <v/>
      </c>
      <c r="L82" s="7" t="str">
        <f t="shared" si="15"/>
        <v/>
      </c>
      <c r="M82" s="7" t="str">
        <f t="shared" si="16"/>
        <v/>
      </c>
      <c r="N82" s="7" t="str">
        <f t="shared" si="17"/>
        <v/>
      </c>
      <c r="O82" s="7" t="str">
        <f t="shared" si="18"/>
        <v/>
      </c>
      <c r="P82" t="str">
        <f t="shared" si="19"/>
        <v/>
      </c>
      <c r="Q82" t="str">
        <f>IF(C82="","",ProcessUrl(P82,"GetTestResults"))</f>
        <v/>
      </c>
      <c r="R82" s="10" t="str">
        <f>IF(C82="","",JsProcess("JsonItem",JsProcess("JsonItem",Q82,"Passed"),"count"))</f>
        <v/>
      </c>
      <c r="S82" s="10" t="str">
        <f>IF(C82="","",JsProcess("JsonItem",JsProcess("JsonItem",Q82,"NotExecuted"),"count"))</f>
        <v/>
      </c>
    </row>
    <row r="83" spans="4:19" x14ac:dyDescent="0.25">
      <c r="D83" t="str">
        <f>IF(C83="","",VLOOKUP(A83,Projects!A:B,2,FALSE))</f>
        <v/>
      </c>
      <c r="E83" s="1" t="str">
        <f t="shared" si="10"/>
        <v/>
      </c>
      <c r="F83" t="str">
        <f t="shared" si="11"/>
        <v/>
      </c>
      <c r="G83" t="str">
        <f>IF(C83="","",ProcessUrl(E83,F83))</f>
        <v/>
      </c>
      <c r="H83" t="str">
        <f t="shared" si="12"/>
        <v/>
      </c>
      <c r="I83" t="str">
        <f t="shared" si="13"/>
        <v/>
      </c>
      <c r="J83" t="str">
        <f>IF(C83="","",ProcessUrl(H83,I83))</f>
        <v/>
      </c>
      <c r="K83" s="7" t="str">
        <f t="shared" si="14"/>
        <v/>
      </c>
      <c r="L83" s="7" t="str">
        <f t="shared" si="15"/>
        <v/>
      </c>
      <c r="M83" s="7" t="str">
        <f t="shared" si="16"/>
        <v/>
      </c>
      <c r="N83" s="7" t="str">
        <f t="shared" si="17"/>
        <v/>
      </c>
      <c r="O83" s="7" t="str">
        <f t="shared" si="18"/>
        <v/>
      </c>
      <c r="P83" t="str">
        <f t="shared" si="19"/>
        <v/>
      </c>
      <c r="Q83" t="str">
        <f>IF(C83="","",ProcessUrl(P83,"GetTestResults"))</f>
        <v/>
      </c>
      <c r="R83" s="10" t="str">
        <f>IF(C83="","",JsProcess("JsonItem",JsProcess("JsonItem",Q83,"Passed"),"count"))</f>
        <v/>
      </c>
      <c r="S83" s="10" t="str">
        <f>IF(C83="","",JsProcess("JsonItem",JsProcess("JsonItem",Q83,"NotExecuted"),"count"))</f>
        <v/>
      </c>
    </row>
    <row r="84" spans="4:19" x14ac:dyDescent="0.25">
      <c r="D84" t="str">
        <f>IF(C84="","",VLOOKUP(A84,Projects!A:B,2,FALSE))</f>
        <v/>
      </c>
      <c r="E84" s="1" t="str">
        <f t="shared" si="10"/>
        <v/>
      </c>
      <c r="F84" t="str">
        <f t="shared" si="11"/>
        <v/>
      </c>
      <c r="G84" t="str">
        <f>IF(C84="","",ProcessUrl(E84,F84))</f>
        <v/>
      </c>
      <c r="H84" t="str">
        <f t="shared" si="12"/>
        <v/>
      </c>
      <c r="I84" t="str">
        <f t="shared" si="13"/>
        <v/>
      </c>
      <c r="J84" t="str">
        <f>IF(C84="","",ProcessUrl(H84,I84))</f>
        <v/>
      </c>
      <c r="K84" s="7" t="str">
        <f t="shared" si="14"/>
        <v/>
      </c>
      <c r="L84" s="7" t="str">
        <f t="shared" si="15"/>
        <v/>
      </c>
      <c r="M84" s="7" t="str">
        <f t="shared" si="16"/>
        <v/>
      </c>
      <c r="N84" s="7" t="str">
        <f t="shared" si="17"/>
        <v/>
      </c>
      <c r="O84" s="7" t="str">
        <f t="shared" si="18"/>
        <v/>
      </c>
      <c r="P84" t="str">
        <f t="shared" si="19"/>
        <v/>
      </c>
      <c r="Q84" t="str">
        <f>IF(C84="","",ProcessUrl(P84,"GetTestResults"))</f>
        <v/>
      </c>
      <c r="R84" s="10" t="str">
        <f>IF(C84="","",JsProcess("JsonItem",JsProcess("JsonItem",Q84,"Passed"),"count"))</f>
        <v/>
      </c>
      <c r="S84" s="10" t="str">
        <f>IF(C84="","",JsProcess("JsonItem",JsProcess("JsonItem",Q84,"NotExecuted"),"count"))</f>
        <v/>
      </c>
    </row>
    <row r="85" spans="4:19" x14ac:dyDescent="0.25">
      <c r="D85" t="str">
        <f>IF(C85="","",VLOOKUP(A85,Projects!A:B,2,FALSE))</f>
        <v/>
      </c>
      <c r="E85" s="1" t="str">
        <f t="shared" si="10"/>
        <v/>
      </c>
      <c r="F85" t="str">
        <f t="shared" si="11"/>
        <v/>
      </c>
      <c r="G85" t="str">
        <f>IF(C85="","",ProcessUrl(E85,F85))</f>
        <v/>
      </c>
      <c r="H85" t="str">
        <f t="shared" si="12"/>
        <v/>
      </c>
      <c r="I85" t="str">
        <f t="shared" si="13"/>
        <v/>
      </c>
      <c r="J85" t="str">
        <f>IF(C85="","",ProcessUrl(H85,I85))</f>
        <v/>
      </c>
      <c r="K85" s="7" t="str">
        <f t="shared" si="14"/>
        <v/>
      </c>
      <c r="L85" s="7" t="str">
        <f t="shared" si="15"/>
        <v/>
      </c>
      <c r="M85" s="7" t="str">
        <f t="shared" si="16"/>
        <v/>
      </c>
      <c r="N85" s="7" t="str">
        <f t="shared" si="17"/>
        <v/>
      </c>
      <c r="O85" s="7" t="str">
        <f t="shared" si="18"/>
        <v/>
      </c>
      <c r="P85" t="str">
        <f t="shared" si="19"/>
        <v/>
      </c>
      <c r="Q85" t="str">
        <f>IF(C85="","",ProcessUrl(P85,"GetTestResults"))</f>
        <v/>
      </c>
      <c r="R85" s="10" t="str">
        <f>IF(C85="","",JsProcess("JsonItem",JsProcess("JsonItem",Q85,"Passed"),"count"))</f>
        <v/>
      </c>
      <c r="S85" s="10" t="str">
        <f>IF(C85="","",JsProcess("JsonItem",JsProcess("JsonItem",Q85,"NotExecuted"),"count"))</f>
        <v/>
      </c>
    </row>
    <row r="86" spans="4:19" x14ac:dyDescent="0.25">
      <c r="D86" t="str">
        <f>IF(C86="","",VLOOKUP(A86,Projects!A:B,2,FALSE))</f>
        <v/>
      </c>
      <c r="E86" s="1" t="str">
        <f t="shared" si="10"/>
        <v/>
      </c>
      <c r="F86" t="str">
        <f t="shared" si="11"/>
        <v/>
      </c>
      <c r="G86" t="str">
        <f>IF(C86="","",ProcessUrl(E86,F86))</f>
        <v/>
      </c>
      <c r="H86" t="str">
        <f t="shared" si="12"/>
        <v/>
      </c>
      <c r="I86" t="str">
        <f t="shared" si="13"/>
        <v/>
      </c>
      <c r="J86" t="str">
        <f>IF(C86="","",ProcessUrl(H86,I86))</f>
        <v/>
      </c>
      <c r="K86" s="7" t="str">
        <f t="shared" si="14"/>
        <v/>
      </c>
      <c r="L86" s="7" t="str">
        <f t="shared" si="15"/>
        <v/>
      </c>
      <c r="M86" s="7" t="str">
        <f t="shared" si="16"/>
        <v/>
      </c>
      <c r="N86" s="7" t="str">
        <f t="shared" si="17"/>
        <v/>
      </c>
      <c r="O86" s="7" t="str">
        <f t="shared" si="18"/>
        <v/>
      </c>
      <c r="P86" t="str">
        <f t="shared" si="19"/>
        <v/>
      </c>
      <c r="Q86" t="str">
        <f>IF(C86="","",ProcessUrl(P86,"GetTestResults"))</f>
        <v/>
      </c>
      <c r="R86" s="10" t="str">
        <f>IF(C86="","",JsProcess("JsonItem",JsProcess("JsonItem",Q86,"Passed"),"count"))</f>
        <v/>
      </c>
      <c r="S86" s="10" t="str">
        <f>IF(C86="","",JsProcess("JsonItem",JsProcess("JsonItem",Q86,"NotExecuted"),"count"))</f>
        <v/>
      </c>
    </row>
    <row r="87" spans="4:19" x14ac:dyDescent="0.25">
      <c r="D87" t="str">
        <f>IF(C87="","",VLOOKUP(A87,Projects!A:B,2,FALSE))</f>
        <v/>
      </c>
      <c r="E87" s="1" t="str">
        <f t="shared" si="10"/>
        <v/>
      </c>
      <c r="F87" t="str">
        <f t="shared" si="11"/>
        <v/>
      </c>
      <c r="G87" t="str">
        <f>IF(C87="","",ProcessUrl(E87,F87))</f>
        <v/>
      </c>
      <c r="H87" t="str">
        <f t="shared" si="12"/>
        <v/>
      </c>
      <c r="I87" t="str">
        <f t="shared" si="13"/>
        <v/>
      </c>
      <c r="J87" t="str">
        <f>IF(C87="","",ProcessUrl(H87,I87))</f>
        <v/>
      </c>
      <c r="K87" s="7" t="str">
        <f t="shared" si="14"/>
        <v/>
      </c>
      <c r="L87" s="7" t="str">
        <f t="shared" si="15"/>
        <v/>
      </c>
      <c r="M87" s="7" t="str">
        <f t="shared" si="16"/>
        <v/>
      </c>
      <c r="N87" s="7" t="str">
        <f t="shared" si="17"/>
        <v/>
      </c>
      <c r="O87" s="7" t="str">
        <f t="shared" si="18"/>
        <v/>
      </c>
      <c r="P87" t="str">
        <f t="shared" si="19"/>
        <v/>
      </c>
      <c r="Q87" t="str">
        <f>IF(C87="","",ProcessUrl(P87,"GetTestResults"))</f>
        <v/>
      </c>
      <c r="R87" s="10" t="str">
        <f>IF(C87="","",JsProcess("JsonItem",JsProcess("JsonItem",Q87,"Passed"),"count"))</f>
        <v/>
      </c>
      <c r="S87" s="10" t="str">
        <f>IF(C87="","",JsProcess("JsonItem",JsProcess("JsonItem",Q87,"NotExecuted"),"count"))</f>
        <v/>
      </c>
    </row>
    <row r="88" spans="4:19" x14ac:dyDescent="0.25">
      <c r="D88" t="str">
        <f>IF(C88="","",VLOOKUP(A88,Projects!A:B,2,FALSE))</f>
        <v/>
      </c>
      <c r="E88" s="1" t="str">
        <f t="shared" si="10"/>
        <v/>
      </c>
      <c r="F88" t="str">
        <f t="shared" si="11"/>
        <v/>
      </c>
      <c r="G88" t="str">
        <f>IF(C88="","",ProcessUrl(E88,F88))</f>
        <v/>
      </c>
      <c r="H88" t="str">
        <f t="shared" si="12"/>
        <v/>
      </c>
      <c r="I88" t="str">
        <f t="shared" si="13"/>
        <v/>
      </c>
      <c r="J88" t="str">
        <f>IF(C88="","",ProcessUrl(H88,I88))</f>
        <v/>
      </c>
      <c r="K88" s="7" t="str">
        <f t="shared" si="14"/>
        <v/>
      </c>
      <c r="L88" s="7" t="str">
        <f t="shared" si="15"/>
        <v/>
      </c>
      <c r="M88" s="7" t="str">
        <f t="shared" si="16"/>
        <v/>
      </c>
      <c r="N88" s="7" t="str">
        <f t="shared" si="17"/>
        <v/>
      </c>
      <c r="O88" s="7" t="str">
        <f t="shared" si="18"/>
        <v/>
      </c>
      <c r="P88" t="str">
        <f t="shared" si="19"/>
        <v/>
      </c>
      <c r="Q88" t="str">
        <f>IF(C88="","",ProcessUrl(P88,"GetTestResults"))</f>
        <v/>
      </c>
      <c r="R88" s="10" t="str">
        <f>IF(C88="","",JsProcess("JsonItem",JsProcess("JsonItem",Q88,"Passed"),"count"))</f>
        <v/>
      </c>
      <c r="S88" s="10" t="str">
        <f>IF(C88="","",JsProcess("JsonItem",JsProcess("JsonItem",Q88,"NotExecuted"),"count"))</f>
        <v/>
      </c>
    </row>
    <row r="89" spans="4:19" x14ac:dyDescent="0.25">
      <c r="D89" t="str">
        <f>IF(C89="","",VLOOKUP(A89,Projects!A:B,2,FALSE))</f>
        <v/>
      </c>
      <c r="E89" s="1" t="str">
        <f t="shared" si="10"/>
        <v/>
      </c>
      <c r="F89" t="str">
        <f t="shared" si="11"/>
        <v/>
      </c>
      <c r="G89" t="str">
        <f>IF(C89="","",ProcessUrl(E89,F89))</f>
        <v/>
      </c>
      <c r="H89" t="str">
        <f t="shared" si="12"/>
        <v/>
      </c>
      <c r="I89" t="str">
        <f t="shared" si="13"/>
        <v/>
      </c>
      <c r="J89" t="str">
        <f>IF(C89="","",ProcessUrl(H89,I89))</f>
        <v/>
      </c>
      <c r="K89" s="7" t="str">
        <f t="shared" si="14"/>
        <v/>
      </c>
      <c r="L89" s="7" t="str">
        <f t="shared" si="15"/>
        <v/>
      </c>
      <c r="M89" s="7" t="str">
        <f t="shared" si="16"/>
        <v/>
      </c>
      <c r="N89" s="7" t="str">
        <f t="shared" si="17"/>
        <v/>
      </c>
      <c r="O89" s="7" t="str">
        <f t="shared" si="18"/>
        <v/>
      </c>
      <c r="P89" t="str">
        <f t="shared" si="19"/>
        <v/>
      </c>
      <c r="Q89" t="str">
        <f>IF(C89="","",ProcessUrl(P89,"GetTestResults"))</f>
        <v/>
      </c>
      <c r="R89" s="10" t="str">
        <f>IF(C89="","",JsProcess("JsonItem",JsProcess("JsonItem",Q89,"Passed"),"count"))</f>
        <v/>
      </c>
      <c r="S89" s="10" t="str">
        <f>IF(C89="","",JsProcess("JsonItem",JsProcess("JsonItem",Q89,"NotExecuted"),"count"))</f>
        <v/>
      </c>
    </row>
    <row r="90" spans="4:19" x14ac:dyDescent="0.25">
      <c r="D90" t="str">
        <f>IF(C90="","",VLOOKUP(A90,Projects!A:B,2,FALSE))</f>
        <v/>
      </c>
      <c r="E90" s="1" t="str">
        <f t="shared" si="10"/>
        <v/>
      </c>
      <c r="F90" t="str">
        <f t="shared" si="11"/>
        <v/>
      </c>
      <c r="G90" t="str">
        <f>IF(C90="","",ProcessUrl(E90,F90))</f>
        <v/>
      </c>
      <c r="H90" t="str">
        <f t="shared" si="12"/>
        <v/>
      </c>
      <c r="I90" t="str">
        <f t="shared" si="13"/>
        <v/>
      </c>
      <c r="J90" t="str">
        <f>IF(C90="","",ProcessUrl(H90,I90))</f>
        <v/>
      </c>
      <c r="K90" s="7" t="str">
        <f t="shared" si="14"/>
        <v/>
      </c>
      <c r="L90" s="7" t="str">
        <f t="shared" si="15"/>
        <v/>
      </c>
      <c r="M90" s="7" t="str">
        <f t="shared" si="16"/>
        <v/>
      </c>
      <c r="N90" s="7" t="str">
        <f t="shared" si="17"/>
        <v/>
      </c>
      <c r="O90" s="7" t="str">
        <f t="shared" si="18"/>
        <v/>
      </c>
      <c r="P90" t="str">
        <f t="shared" si="19"/>
        <v/>
      </c>
      <c r="Q90" t="str">
        <f>IF(C90="","",ProcessUrl(P90,"GetTestResults"))</f>
        <v/>
      </c>
      <c r="R90" s="10" t="str">
        <f>IF(C90="","",JsProcess("JsonItem",JsProcess("JsonItem",Q90,"Passed"),"count"))</f>
        <v/>
      </c>
      <c r="S90" s="10" t="str">
        <f>IF(C90="","",JsProcess("JsonItem",JsProcess("JsonItem",Q90,"NotExecuted"),"count"))</f>
        <v/>
      </c>
    </row>
    <row r="91" spans="4:19" x14ac:dyDescent="0.25">
      <c r="D91" t="str">
        <f>IF(C91="","",VLOOKUP(A91,Projects!A:B,2,FALSE))</f>
        <v/>
      </c>
      <c r="E91" s="1" t="str">
        <f t="shared" si="10"/>
        <v/>
      </c>
      <c r="F91" t="str">
        <f t="shared" si="11"/>
        <v/>
      </c>
      <c r="G91" t="str">
        <f>IF(C91="","",ProcessUrl(E91,F91))</f>
        <v/>
      </c>
      <c r="H91" t="str">
        <f t="shared" si="12"/>
        <v/>
      </c>
      <c r="I91" t="str">
        <f t="shared" si="13"/>
        <v/>
      </c>
      <c r="J91" t="str">
        <f>IF(C91="","",ProcessUrl(H91,I91))</f>
        <v/>
      </c>
      <c r="K91" s="7" t="str">
        <f t="shared" si="14"/>
        <v/>
      </c>
      <c r="L91" s="7" t="str">
        <f t="shared" si="15"/>
        <v/>
      </c>
      <c r="M91" s="7" t="str">
        <f t="shared" si="16"/>
        <v/>
      </c>
      <c r="N91" s="7" t="str">
        <f t="shared" si="17"/>
        <v/>
      </c>
      <c r="O91" s="7" t="str">
        <f t="shared" si="18"/>
        <v/>
      </c>
      <c r="P91" t="str">
        <f t="shared" si="19"/>
        <v/>
      </c>
      <c r="Q91" t="str">
        <f>IF(C91="","",ProcessUrl(P91,"GetTestResults"))</f>
        <v/>
      </c>
      <c r="R91" s="10" t="str">
        <f>IF(C91="","",JsProcess("JsonItem",JsProcess("JsonItem",Q91,"Passed"),"count"))</f>
        <v/>
      </c>
      <c r="S91" s="10" t="str">
        <f>IF(C91="","",JsProcess("JsonItem",JsProcess("JsonItem",Q91,"NotExecuted"),"count"))</f>
        <v/>
      </c>
    </row>
    <row r="92" spans="4:19" x14ac:dyDescent="0.25">
      <c r="D92" t="str">
        <f>IF(C92="","",VLOOKUP(A92,Projects!A:B,2,FALSE))</f>
        <v/>
      </c>
      <c r="E92" s="1" t="str">
        <f t="shared" si="10"/>
        <v/>
      </c>
      <c r="F92" t="str">
        <f t="shared" si="11"/>
        <v/>
      </c>
      <c r="G92" t="str">
        <f>IF(C92="","",ProcessUrl(E92,F92))</f>
        <v/>
      </c>
      <c r="H92" t="str">
        <f t="shared" si="12"/>
        <v/>
      </c>
      <c r="I92" t="str">
        <f t="shared" si="13"/>
        <v/>
      </c>
      <c r="J92" t="str">
        <f>IF(C92="","",ProcessUrl(H92,I92))</f>
        <v/>
      </c>
      <c r="K92" s="7" t="str">
        <f t="shared" si="14"/>
        <v/>
      </c>
      <c r="L92" s="7" t="str">
        <f t="shared" si="15"/>
        <v/>
      </c>
      <c r="M92" s="7" t="str">
        <f t="shared" si="16"/>
        <v/>
      </c>
      <c r="N92" s="7" t="str">
        <f t="shared" si="17"/>
        <v/>
      </c>
      <c r="O92" s="7" t="str">
        <f t="shared" si="18"/>
        <v/>
      </c>
      <c r="P92" t="str">
        <f t="shared" si="19"/>
        <v/>
      </c>
      <c r="Q92" t="str">
        <f>IF(C92="","",ProcessUrl(P92,"GetTestResults"))</f>
        <v/>
      </c>
      <c r="R92" s="10" t="str">
        <f>IF(C92="","",JsProcess("JsonItem",JsProcess("JsonItem",Q92,"Passed"),"count"))</f>
        <v/>
      </c>
      <c r="S92" s="10" t="str">
        <f>IF(C92="","",JsProcess("JsonItem",JsProcess("JsonItem",Q92,"NotExecuted"),"count"))</f>
        <v/>
      </c>
    </row>
    <row r="93" spans="4:19" x14ac:dyDescent="0.25">
      <c r="D93" t="str">
        <f>IF(C93="","",VLOOKUP(A93,Projects!A:B,2,FALSE))</f>
        <v/>
      </c>
      <c r="E93" s="1" t="str">
        <f t="shared" si="10"/>
        <v/>
      </c>
      <c r="F93" t="str">
        <f t="shared" si="11"/>
        <v/>
      </c>
      <c r="G93" t="str">
        <f>IF(C93="","",ProcessUrl(E93,F93))</f>
        <v/>
      </c>
      <c r="H93" t="str">
        <f t="shared" si="12"/>
        <v/>
      </c>
      <c r="I93" t="str">
        <f t="shared" si="13"/>
        <v/>
      </c>
      <c r="J93" t="str">
        <f>IF(C93="","",ProcessUrl(H93,I93))</f>
        <v/>
      </c>
      <c r="K93" s="7" t="str">
        <f t="shared" si="14"/>
        <v/>
      </c>
      <c r="L93" s="7" t="str">
        <f t="shared" si="15"/>
        <v/>
      </c>
      <c r="M93" s="7" t="str">
        <f t="shared" si="16"/>
        <v/>
      </c>
      <c r="N93" s="7" t="str">
        <f t="shared" si="17"/>
        <v/>
      </c>
      <c r="O93" s="7" t="str">
        <f t="shared" si="18"/>
        <v/>
      </c>
      <c r="P93" t="str">
        <f t="shared" si="19"/>
        <v/>
      </c>
      <c r="Q93" t="str">
        <f>IF(C93="","",ProcessUrl(P93,"GetTestResults"))</f>
        <v/>
      </c>
      <c r="R93" s="10" t="str">
        <f>IF(C93="","",JsProcess("JsonItem",JsProcess("JsonItem",Q93,"Passed"),"count"))</f>
        <v/>
      </c>
      <c r="S93" s="10" t="str">
        <f>IF(C93="","",JsProcess("JsonItem",JsProcess("JsonItem",Q93,"NotExecuted"),"count"))</f>
        <v/>
      </c>
    </row>
    <row r="94" spans="4:19" x14ac:dyDescent="0.25">
      <c r="D94" t="str">
        <f>IF(C94="","",VLOOKUP(A94,Projects!A:B,2,FALSE))</f>
        <v/>
      </c>
      <c r="E94" s="1" t="str">
        <f t="shared" si="10"/>
        <v/>
      </c>
      <c r="F94" t="str">
        <f t="shared" si="11"/>
        <v/>
      </c>
      <c r="G94" t="str">
        <f>IF(C94="","",ProcessUrl(E94,F94))</f>
        <v/>
      </c>
      <c r="H94" t="str">
        <f t="shared" si="12"/>
        <v/>
      </c>
      <c r="I94" t="str">
        <f t="shared" si="13"/>
        <v/>
      </c>
      <c r="J94" t="str">
        <f>IF(C94="","",ProcessUrl(H94,I94))</f>
        <v/>
      </c>
      <c r="K94" s="7" t="str">
        <f t="shared" si="14"/>
        <v/>
      </c>
      <c r="L94" s="7" t="str">
        <f t="shared" si="15"/>
        <v/>
      </c>
      <c r="M94" s="7" t="str">
        <f t="shared" si="16"/>
        <v/>
      </c>
      <c r="N94" s="7" t="str">
        <f t="shared" si="17"/>
        <v/>
      </c>
      <c r="O94" s="7" t="str">
        <f t="shared" si="18"/>
        <v/>
      </c>
      <c r="P94" t="str">
        <f t="shared" si="19"/>
        <v/>
      </c>
      <c r="Q94" t="str">
        <f>IF(C94="","",ProcessUrl(P94,"GetTestResults"))</f>
        <v/>
      </c>
      <c r="R94" s="10" t="str">
        <f>IF(C94="","",JsProcess("JsonItem",JsProcess("JsonItem",Q94,"Passed"),"count"))</f>
        <v/>
      </c>
      <c r="S94" s="10" t="str">
        <f>IF(C94="","",JsProcess("JsonItem",JsProcess("JsonItem",Q94,"NotExecuted"),"count"))</f>
        <v/>
      </c>
    </row>
    <row r="95" spans="4:19" x14ac:dyDescent="0.25">
      <c r="D95" t="str">
        <f>IF(C95="","",VLOOKUP(A95,Projects!A:B,2,FALSE))</f>
        <v/>
      </c>
      <c r="E95" s="1" t="str">
        <f t="shared" si="10"/>
        <v/>
      </c>
      <c r="F95" t="str">
        <f t="shared" si="11"/>
        <v/>
      </c>
      <c r="G95" t="str">
        <f>IF(C95="","",ProcessUrl(E95,F95))</f>
        <v/>
      </c>
      <c r="H95" t="str">
        <f t="shared" si="12"/>
        <v/>
      </c>
      <c r="I95" t="str">
        <f t="shared" si="13"/>
        <v/>
      </c>
      <c r="J95" t="str">
        <f>IF(C95="","",ProcessUrl(H95,I95))</f>
        <v/>
      </c>
      <c r="K95" s="7" t="str">
        <f t="shared" si="14"/>
        <v/>
      </c>
      <c r="L95" s="7" t="str">
        <f t="shared" si="15"/>
        <v/>
      </c>
      <c r="M95" s="7" t="str">
        <f t="shared" si="16"/>
        <v/>
      </c>
      <c r="N95" s="7" t="str">
        <f t="shared" si="17"/>
        <v/>
      </c>
      <c r="O95" s="7" t="str">
        <f t="shared" si="18"/>
        <v/>
      </c>
      <c r="P95" t="str">
        <f t="shared" si="19"/>
        <v/>
      </c>
      <c r="Q95" t="str">
        <f>IF(C95="","",ProcessUrl(P95,"GetTestResults"))</f>
        <v/>
      </c>
      <c r="R95" s="10" t="str">
        <f>IF(C95="","",JsProcess("JsonItem",JsProcess("JsonItem",Q95,"Passed"),"count"))</f>
        <v/>
      </c>
      <c r="S95" s="10" t="str">
        <f>IF(C95="","",JsProcess("JsonItem",JsProcess("JsonItem",Q95,"NotExecuted"),"count"))</f>
        <v/>
      </c>
    </row>
    <row r="96" spans="4:19" x14ac:dyDescent="0.25">
      <c r="D96" t="str">
        <f>IF(C96="","",VLOOKUP(A96,Projects!A:B,2,FALSE))</f>
        <v/>
      </c>
      <c r="E96" s="1" t="str">
        <f t="shared" si="10"/>
        <v/>
      </c>
      <c r="F96" t="str">
        <f t="shared" si="11"/>
        <v/>
      </c>
      <c r="G96" t="str">
        <f>IF(C96="","",ProcessUrl(E96,F96))</f>
        <v/>
      </c>
      <c r="H96" t="str">
        <f t="shared" si="12"/>
        <v/>
      </c>
      <c r="I96" t="str">
        <f t="shared" si="13"/>
        <v/>
      </c>
      <c r="J96" t="str">
        <f>IF(C96="","",ProcessUrl(H96,I96))</f>
        <v/>
      </c>
      <c r="K96" s="7" t="str">
        <f t="shared" si="14"/>
        <v/>
      </c>
      <c r="L96" s="7" t="str">
        <f t="shared" si="15"/>
        <v/>
      </c>
      <c r="M96" s="7" t="str">
        <f t="shared" si="16"/>
        <v/>
      </c>
      <c r="N96" s="7" t="str">
        <f t="shared" si="17"/>
        <v/>
      </c>
      <c r="O96" s="7" t="str">
        <f t="shared" si="18"/>
        <v/>
      </c>
      <c r="P96" t="str">
        <f t="shared" si="19"/>
        <v/>
      </c>
      <c r="Q96" t="str">
        <f>IF(C96="","",ProcessUrl(P96,"GetTestResults"))</f>
        <v/>
      </c>
      <c r="R96" s="10" t="str">
        <f>IF(C96="","",JsProcess("JsonItem",JsProcess("JsonItem",Q96,"Passed"),"count"))</f>
        <v/>
      </c>
      <c r="S96" s="10" t="str">
        <f>IF(C96="","",JsProcess("JsonItem",JsProcess("JsonItem",Q96,"NotExecuted"),"count"))</f>
        <v/>
      </c>
    </row>
    <row r="97" spans="4:19" x14ac:dyDescent="0.25">
      <c r="D97" t="str">
        <f>IF(C97="","",VLOOKUP(A97,Projects!A:B,2,FALSE))</f>
        <v/>
      </c>
      <c r="E97" s="1" t="str">
        <f t="shared" si="10"/>
        <v/>
      </c>
      <c r="F97" t="str">
        <f t="shared" si="11"/>
        <v/>
      </c>
      <c r="G97" t="str">
        <f>IF(C97="","",ProcessUrl(E97,F97))</f>
        <v/>
      </c>
      <c r="H97" t="str">
        <f t="shared" si="12"/>
        <v/>
      </c>
      <c r="I97" t="str">
        <f t="shared" si="13"/>
        <v/>
      </c>
      <c r="J97" t="str">
        <f>IF(C97="","",ProcessUrl(H97,I97))</f>
        <v/>
      </c>
      <c r="K97" s="7" t="str">
        <f t="shared" si="14"/>
        <v/>
      </c>
      <c r="L97" s="7" t="str">
        <f t="shared" si="15"/>
        <v/>
      </c>
      <c r="M97" s="7" t="str">
        <f t="shared" si="16"/>
        <v/>
      </c>
      <c r="N97" s="7" t="str">
        <f t="shared" si="17"/>
        <v/>
      </c>
      <c r="O97" s="7" t="str">
        <f t="shared" si="18"/>
        <v/>
      </c>
      <c r="P97" t="str">
        <f t="shared" si="19"/>
        <v/>
      </c>
      <c r="Q97" t="str">
        <f>IF(C97="","",ProcessUrl(P97,"GetTestResults"))</f>
        <v/>
      </c>
      <c r="R97" s="10" t="str">
        <f>IF(C97="","",JsProcess("JsonItem",JsProcess("JsonItem",Q97,"Passed"),"count"))</f>
        <v/>
      </c>
      <c r="S97" s="10" t="str">
        <f>IF(C97="","",JsProcess("JsonItem",JsProcess("JsonItem",Q97,"NotExecuted"),"count"))</f>
        <v/>
      </c>
    </row>
    <row r="98" spans="4:19" x14ac:dyDescent="0.25">
      <c r="D98" t="str">
        <f>IF(C98="","",VLOOKUP(A98,Projects!A:B,2,FALSE))</f>
        <v/>
      </c>
      <c r="E98" s="1" t="str">
        <f t="shared" si="10"/>
        <v/>
      </c>
      <c r="F98" t="str">
        <f t="shared" si="11"/>
        <v/>
      </c>
      <c r="G98" t="str">
        <f>IF(C98="","",ProcessUrl(E98,F98))</f>
        <v/>
      </c>
      <c r="H98" t="str">
        <f t="shared" si="12"/>
        <v/>
      </c>
      <c r="I98" t="str">
        <f t="shared" si="13"/>
        <v/>
      </c>
      <c r="J98" t="str">
        <f>IF(C98="","",ProcessUrl(H98,I98))</f>
        <v/>
      </c>
      <c r="K98" s="7" t="str">
        <f t="shared" si="14"/>
        <v/>
      </c>
      <c r="L98" s="7" t="str">
        <f t="shared" si="15"/>
        <v/>
      </c>
      <c r="M98" s="7" t="str">
        <f t="shared" si="16"/>
        <v/>
      </c>
      <c r="N98" s="7" t="str">
        <f t="shared" si="17"/>
        <v/>
      </c>
      <c r="O98" s="7" t="str">
        <f t="shared" si="18"/>
        <v/>
      </c>
      <c r="P98" t="str">
        <f t="shared" si="19"/>
        <v/>
      </c>
      <c r="Q98" t="str">
        <f>IF(C98="","",ProcessUrl(P98,"GetTestResults"))</f>
        <v/>
      </c>
      <c r="R98" s="10" t="str">
        <f>IF(C98="","",JsProcess("JsonItem",JsProcess("JsonItem",Q98,"Passed"),"count"))</f>
        <v/>
      </c>
      <c r="S98" s="10" t="str">
        <f>IF(C98="","",JsProcess("JsonItem",JsProcess("JsonItem",Q98,"NotExecuted"),"count"))</f>
        <v/>
      </c>
    </row>
    <row r="99" spans="4:19" x14ac:dyDescent="0.25">
      <c r="D99" t="str">
        <f>IF(C99="","",VLOOKUP(A99,Projects!A:B,2,FALSE))</f>
        <v/>
      </c>
      <c r="E99" s="1" t="str">
        <f t="shared" si="10"/>
        <v/>
      </c>
      <c r="F99" t="str">
        <f t="shared" si="11"/>
        <v/>
      </c>
      <c r="G99" t="str">
        <f>IF(C99="","",ProcessUrl(E99,F99))</f>
        <v/>
      </c>
      <c r="H99" t="str">
        <f t="shared" si="12"/>
        <v/>
      </c>
      <c r="I99" t="str">
        <f t="shared" si="13"/>
        <v/>
      </c>
      <c r="J99" t="str">
        <f>IF(C99="","",ProcessUrl(H99,I99))</f>
        <v/>
      </c>
      <c r="K99" s="7" t="str">
        <f t="shared" si="14"/>
        <v/>
      </c>
      <c r="L99" s="7" t="str">
        <f t="shared" si="15"/>
        <v/>
      </c>
      <c r="M99" s="7" t="str">
        <f t="shared" si="16"/>
        <v/>
      </c>
      <c r="N99" s="7" t="str">
        <f t="shared" si="17"/>
        <v/>
      </c>
      <c r="O99" s="7" t="str">
        <f t="shared" si="18"/>
        <v/>
      </c>
      <c r="P99" t="str">
        <f t="shared" si="19"/>
        <v/>
      </c>
      <c r="Q99" t="str">
        <f>IF(C99="","",ProcessUrl(P99,"GetTestResults"))</f>
        <v/>
      </c>
      <c r="R99" s="10" t="str">
        <f>IF(C99="","",JsProcess("JsonItem",JsProcess("JsonItem",Q99,"Passed"),"count"))</f>
        <v/>
      </c>
      <c r="S99" s="10" t="str">
        <f>IF(C99="","",JsProcess("JsonItem",JsProcess("JsonItem",Q99,"NotExecuted"),"count"))</f>
        <v/>
      </c>
    </row>
    <row r="100" spans="4:19" x14ac:dyDescent="0.25">
      <c r="D100" t="str">
        <f>IF(C100="","",VLOOKUP(A100,Projects!A:B,2,FALSE))</f>
        <v/>
      </c>
      <c r="E100" s="1" t="str">
        <f t="shared" si="10"/>
        <v/>
      </c>
      <c r="F100" t="str">
        <f t="shared" si="11"/>
        <v/>
      </c>
      <c r="G100" t="str">
        <f>IF(C100="","",ProcessUrl(E100,F100))</f>
        <v/>
      </c>
      <c r="H100" t="str">
        <f t="shared" si="12"/>
        <v/>
      </c>
      <c r="I100" t="str">
        <f t="shared" si="13"/>
        <v/>
      </c>
      <c r="J100" t="str">
        <f>IF(C100="","",ProcessUrl(H100,I100))</f>
        <v/>
      </c>
      <c r="K100" s="7" t="str">
        <f t="shared" si="14"/>
        <v/>
      </c>
      <c r="L100" s="7" t="str">
        <f t="shared" si="15"/>
        <v/>
      </c>
      <c r="M100" s="7" t="str">
        <f t="shared" si="16"/>
        <v/>
      </c>
      <c r="N100" s="7" t="str">
        <f t="shared" si="17"/>
        <v/>
      </c>
      <c r="O100" s="7" t="str">
        <f t="shared" si="18"/>
        <v/>
      </c>
      <c r="P100" t="str">
        <f t="shared" si="19"/>
        <v/>
      </c>
      <c r="Q100" t="str">
        <f>IF(C100="","",ProcessUrl(P100,"GetTestResults"))</f>
        <v/>
      </c>
      <c r="R100" s="10" t="str">
        <f>IF(C100="","",JsProcess("JsonItem",JsProcess("JsonItem",Q100,"Passed"),"count"))</f>
        <v/>
      </c>
      <c r="S100" s="10" t="str">
        <f>IF(C100="","",JsProcess("JsonItem",JsProcess("JsonItem",Q100,"NotExecuted"),"count"))</f>
        <v/>
      </c>
    </row>
    <row r="101" spans="4:19" x14ac:dyDescent="0.25">
      <c r="D101" t="str">
        <f>IF(C101="","",VLOOKUP(A101,Projects!A:B,2,FALSE))</f>
        <v/>
      </c>
      <c r="E101" s="1" t="str">
        <f t="shared" si="10"/>
        <v/>
      </c>
      <c r="F101" t="str">
        <f t="shared" si="11"/>
        <v/>
      </c>
      <c r="G101" t="str">
        <f>IF(C101="","",ProcessUrl(E101,F101))</f>
        <v/>
      </c>
      <c r="H101" t="str">
        <f t="shared" si="12"/>
        <v/>
      </c>
      <c r="I101" t="str">
        <f t="shared" si="13"/>
        <v/>
      </c>
      <c r="J101" t="str">
        <f>IF(C101="","",ProcessUrl(H101,I101))</f>
        <v/>
      </c>
      <c r="K101" s="7" t="str">
        <f t="shared" si="14"/>
        <v/>
      </c>
      <c r="L101" s="7" t="str">
        <f t="shared" si="15"/>
        <v/>
      </c>
      <c r="M101" s="7" t="str">
        <f t="shared" si="16"/>
        <v/>
      </c>
      <c r="N101" s="7" t="str">
        <f t="shared" si="17"/>
        <v/>
      </c>
      <c r="O101" s="7" t="str">
        <f t="shared" si="18"/>
        <v/>
      </c>
      <c r="P101" t="str">
        <f t="shared" si="19"/>
        <v/>
      </c>
      <c r="Q101" t="str">
        <f>IF(C101="","",ProcessUrl(P101,"GetTestResults"))</f>
        <v/>
      </c>
      <c r="R101" s="10" t="str">
        <f>IF(C101="","",JsProcess("JsonItem",JsProcess("JsonItem",Q101,"Passed"),"count"))</f>
        <v/>
      </c>
      <c r="S101" s="10" t="str">
        <f>IF(C101="","",JsProcess("JsonItem",JsProcess("JsonItem",Q101,"NotExecuted"),"count"))</f>
        <v/>
      </c>
    </row>
    <row r="102" spans="4:19" x14ac:dyDescent="0.25">
      <c r="D102" t="str">
        <f>IF(C102="","",VLOOKUP(A102,Projects!A:B,2,FALSE))</f>
        <v/>
      </c>
      <c r="E102" s="1" t="str">
        <f t="shared" si="10"/>
        <v/>
      </c>
      <c r="F102" t="str">
        <f t="shared" si="11"/>
        <v/>
      </c>
      <c r="G102" t="str">
        <f>IF(C102="","",ProcessUrl(E102,F102))</f>
        <v/>
      </c>
      <c r="H102" t="str">
        <f t="shared" si="12"/>
        <v/>
      </c>
      <c r="I102" t="str">
        <f t="shared" si="13"/>
        <v/>
      </c>
      <c r="J102" t="str">
        <f>IF(C102="","",ProcessUrl(H102,I102))</f>
        <v/>
      </c>
      <c r="K102" s="7" t="str">
        <f t="shared" si="14"/>
        <v/>
      </c>
      <c r="L102" s="7" t="str">
        <f t="shared" si="15"/>
        <v/>
      </c>
      <c r="M102" s="7" t="str">
        <f t="shared" si="16"/>
        <v/>
      </c>
      <c r="N102" s="7" t="str">
        <f t="shared" si="17"/>
        <v/>
      </c>
      <c r="O102" s="7" t="str">
        <f t="shared" si="18"/>
        <v/>
      </c>
      <c r="P102" t="str">
        <f t="shared" si="19"/>
        <v/>
      </c>
      <c r="Q102" t="str">
        <f>IF(C102="","",ProcessUrl(P102,"GetTestResults"))</f>
        <v/>
      </c>
      <c r="R102" s="10" t="str">
        <f>IF(C102="","",JsProcess("JsonItem",JsProcess("JsonItem",Q102,"Passed"),"count"))</f>
        <v/>
      </c>
      <c r="S102" s="10" t="str">
        <f>IF(C102="","",JsProcess("JsonItem",JsProcess("JsonItem",Q102,"NotExecuted"),"count"))</f>
        <v/>
      </c>
    </row>
    <row r="103" spans="4:19" x14ac:dyDescent="0.25">
      <c r="D103" t="str">
        <f>IF(C103="","",VLOOKUP(A103,Projects!A:B,2,FALSE))</f>
        <v/>
      </c>
      <c r="E103" s="1" t="str">
        <f t="shared" si="10"/>
        <v/>
      </c>
      <c r="F103" t="str">
        <f t="shared" si="11"/>
        <v/>
      </c>
      <c r="G103" t="str">
        <f>IF(C103="","",ProcessUrl(E103,F103))</f>
        <v/>
      </c>
      <c r="H103" t="str">
        <f t="shared" si="12"/>
        <v/>
      </c>
      <c r="I103" t="str">
        <f t="shared" si="13"/>
        <v/>
      </c>
      <c r="J103" t="str">
        <f>IF(C103="","",ProcessUrl(H103,I103))</f>
        <v/>
      </c>
      <c r="K103" s="7" t="str">
        <f t="shared" si="14"/>
        <v/>
      </c>
      <c r="L103" s="7" t="str">
        <f t="shared" si="15"/>
        <v/>
      </c>
      <c r="M103" s="7" t="str">
        <f t="shared" si="16"/>
        <v/>
      </c>
      <c r="N103" s="7" t="str">
        <f t="shared" si="17"/>
        <v/>
      </c>
      <c r="O103" s="7" t="str">
        <f t="shared" si="18"/>
        <v/>
      </c>
      <c r="P103" t="str">
        <f t="shared" si="19"/>
        <v/>
      </c>
      <c r="Q103" t="str">
        <f>IF(C103="","",ProcessUrl(P103,"GetTestResults"))</f>
        <v/>
      </c>
      <c r="R103" s="10" t="str">
        <f>IF(C103="","",JsProcess("JsonItem",JsProcess("JsonItem",Q103,"Passed"),"count"))</f>
        <v/>
      </c>
      <c r="S103" s="10" t="str">
        <f>IF(C103="","",JsProcess("JsonItem",JsProcess("JsonItem",Q103,"NotExecuted"),"count"))</f>
        <v/>
      </c>
    </row>
    <row r="104" spans="4:19" x14ac:dyDescent="0.25">
      <c r="D104" t="str">
        <f>IF(C104="","",VLOOKUP(A104,Projects!A:B,2,FALSE))</f>
        <v/>
      </c>
      <c r="E104" s="1" t="str">
        <f t="shared" si="10"/>
        <v/>
      </c>
      <c r="F104" t="str">
        <f t="shared" si="11"/>
        <v/>
      </c>
      <c r="G104" t="str">
        <f>IF(C104="","",ProcessUrl(E104,F104))</f>
        <v/>
      </c>
      <c r="H104" t="str">
        <f t="shared" si="12"/>
        <v/>
      </c>
      <c r="I104" t="str">
        <f t="shared" si="13"/>
        <v/>
      </c>
      <c r="J104" t="str">
        <f>IF(C104="","",ProcessUrl(H104,I104))</f>
        <v/>
      </c>
      <c r="K104" s="7" t="str">
        <f t="shared" si="14"/>
        <v/>
      </c>
      <c r="L104" s="7" t="str">
        <f t="shared" si="15"/>
        <v/>
      </c>
      <c r="M104" s="7" t="str">
        <f t="shared" si="16"/>
        <v/>
      </c>
      <c r="N104" s="7" t="str">
        <f t="shared" si="17"/>
        <v/>
      </c>
      <c r="O104" s="7" t="str">
        <f t="shared" si="18"/>
        <v/>
      </c>
      <c r="P104" t="str">
        <f t="shared" si="19"/>
        <v/>
      </c>
      <c r="Q104" t="str">
        <f>IF(C104="","",ProcessUrl(P104,"GetTestResults"))</f>
        <v/>
      </c>
      <c r="R104" s="10" t="str">
        <f>IF(C104="","",JsProcess("JsonItem",JsProcess("JsonItem",Q104,"Passed"),"count"))</f>
        <v/>
      </c>
      <c r="S104" s="10" t="str">
        <f>IF(C104="","",JsProcess("JsonItem",JsProcess("JsonItem",Q104,"NotExecuted"),"count"))</f>
        <v/>
      </c>
    </row>
    <row r="105" spans="4:19" x14ac:dyDescent="0.25">
      <c r="D105" t="str">
        <f>IF(C105="","",VLOOKUP(A105,Projects!A:B,2,FALSE))</f>
        <v/>
      </c>
      <c r="E105" s="1" t="str">
        <f t="shared" si="10"/>
        <v/>
      </c>
      <c r="F105" t="str">
        <f t="shared" si="11"/>
        <v/>
      </c>
      <c r="G105" t="str">
        <f>IF(C105="","",ProcessUrl(E105,F105))</f>
        <v/>
      </c>
      <c r="H105" t="str">
        <f t="shared" si="12"/>
        <v/>
      </c>
      <c r="I105" t="str">
        <f t="shared" si="13"/>
        <v/>
      </c>
      <c r="J105" t="str">
        <f>IF(C105="","",ProcessUrl(H105,I105))</f>
        <v/>
      </c>
      <c r="K105" s="7" t="str">
        <f t="shared" si="14"/>
        <v/>
      </c>
      <c r="L105" s="7" t="str">
        <f t="shared" si="15"/>
        <v/>
      </c>
      <c r="M105" s="7" t="str">
        <f t="shared" si="16"/>
        <v/>
      </c>
      <c r="N105" s="7" t="str">
        <f t="shared" si="17"/>
        <v/>
      </c>
      <c r="O105" s="7" t="str">
        <f t="shared" si="18"/>
        <v/>
      </c>
      <c r="P105" t="str">
        <f t="shared" si="19"/>
        <v/>
      </c>
      <c r="Q105" t="str">
        <f>IF(C105="","",ProcessUrl(P105,"GetTestResults"))</f>
        <v/>
      </c>
      <c r="R105" s="10" t="str">
        <f>IF(C105="","",JsProcess("JsonItem",JsProcess("JsonItem",Q105,"Passed"),"count"))</f>
        <v/>
      </c>
      <c r="S105" s="10" t="str">
        <f>IF(C105="","",JsProcess("JsonItem",JsProcess("JsonItem",Q105,"NotExecuted"),"count"))</f>
        <v/>
      </c>
    </row>
    <row r="106" spans="4:19" x14ac:dyDescent="0.25">
      <c r="D106" t="str">
        <f>IF(C106="","",VLOOKUP(A106,Projects!A:B,2,FALSE))</f>
        <v/>
      </c>
      <c r="E106" s="1" t="str">
        <f t="shared" si="10"/>
        <v/>
      </c>
      <c r="F106" t="str">
        <f t="shared" si="11"/>
        <v/>
      </c>
      <c r="G106" t="str">
        <f>IF(C106="","",ProcessUrl(E106,F106))</f>
        <v/>
      </c>
      <c r="H106" t="str">
        <f t="shared" si="12"/>
        <v/>
      </c>
      <c r="I106" t="str">
        <f t="shared" si="13"/>
        <v/>
      </c>
      <c r="J106" t="str">
        <f>IF(C106="","",ProcessUrl(H106,I106))</f>
        <v/>
      </c>
      <c r="K106" s="7" t="str">
        <f t="shared" si="14"/>
        <v/>
      </c>
      <c r="L106" s="7" t="str">
        <f t="shared" si="15"/>
        <v/>
      </c>
      <c r="M106" s="7" t="str">
        <f t="shared" si="16"/>
        <v/>
      </c>
      <c r="N106" s="7" t="str">
        <f t="shared" si="17"/>
        <v/>
      </c>
      <c r="O106" s="7" t="str">
        <f t="shared" si="18"/>
        <v/>
      </c>
      <c r="P106" t="str">
        <f t="shared" si="19"/>
        <v/>
      </c>
      <c r="Q106" t="str">
        <f>IF(C106="","",ProcessUrl(P106,"GetTestResults"))</f>
        <v/>
      </c>
      <c r="R106" s="10" t="str">
        <f>IF(C106="","",JsProcess("JsonItem",JsProcess("JsonItem",Q106,"Passed"),"count"))</f>
        <v/>
      </c>
      <c r="S106" s="10" t="str">
        <f>IF(C106="","",JsProcess("JsonItem",JsProcess("JsonItem",Q106,"NotExecuted"),"count"))</f>
        <v/>
      </c>
    </row>
    <row r="107" spans="4:19" x14ac:dyDescent="0.25">
      <c r="D107" t="str">
        <f>IF(C107="","",VLOOKUP(A107,Projects!A:B,2,FALSE))</f>
        <v/>
      </c>
      <c r="E107" s="1" t="str">
        <f t="shared" si="10"/>
        <v/>
      </c>
      <c r="F107" t="str">
        <f t="shared" si="11"/>
        <v/>
      </c>
      <c r="G107" t="str">
        <f>IF(C107="","",ProcessUrl(E107,F107))</f>
        <v/>
      </c>
      <c r="H107" t="str">
        <f t="shared" si="12"/>
        <v/>
      </c>
      <c r="I107" t="str">
        <f t="shared" si="13"/>
        <v/>
      </c>
      <c r="J107" t="str">
        <f>IF(C107="","",ProcessUrl(H107,I107))</f>
        <v/>
      </c>
      <c r="K107" s="7" t="str">
        <f t="shared" si="14"/>
        <v/>
      </c>
      <c r="L107" s="7" t="str">
        <f t="shared" si="15"/>
        <v/>
      </c>
      <c r="M107" s="7" t="str">
        <f t="shared" si="16"/>
        <v/>
      </c>
      <c r="N107" s="7" t="str">
        <f t="shared" si="17"/>
        <v/>
      </c>
      <c r="O107" s="7" t="str">
        <f t="shared" si="18"/>
        <v/>
      </c>
      <c r="P107" t="str">
        <f t="shared" si="19"/>
        <v/>
      </c>
      <c r="Q107" t="str">
        <f>IF(C107="","",ProcessUrl(P107,"GetTestResults"))</f>
        <v/>
      </c>
      <c r="R107" s="10" t="str">
        <f>IF(C107="","",JsProcess("JsonItem",JsProcess("JsonItem",Q107,"Passed"),"count"))</f>
        <v/>
      </c>
      <c r="S107" s="10" t="str">
        <f>IF(C107="","",JsProcess("JsonItem",JsProcess("JsonItem",Q107,"NotExecuted"),"count"))</f>
        <v/>
      </c>
    </row>
    <row r="108" spans="4:19" x14ac:dyDescent="0.25">
      <c r="D108" t="str">
        <f>IF(C108="","",VLOOKUP(A108,Projects!A:B,2,FALSE))</f>
        <v/>
      </c>
      <c r="E108" s="1" t="str">
        <f t="shared" si="10"/>
        <v/>
      </c>
      <c r="F108" t="str">
        <f t="shared" si="11"/>
        <v/>
      </c>
      <c r="G108" t="str">
        <f>IF(C108="","",ProcessUrl(E108,F108))</f>
        <v/>
      </c>
      <c r="H108" t="str">
        <f t="shared" si="12"/>
        <v/>
      </c>
      <c r="I108" t="str">
        <f t="shared" si="13"/>
        <v/>
      </c>
      <c r="J108" t="str">
        <f>IF(C108="","",ProcessUrl(H108,I108))</f>
        <v/>
      </c>
      <c r="K108" s="7" t="str">
        <f t="shared" si="14"/>
        <v/>
      </c>
      <c r="L108" s="7" t="str">
        <f t="shared" si="15"/>
        <v/>
      </c>
      <c r="M108" s="7" t="str">
        <f t="shared" si="16"/>
        <v/>
      </c>
      <c r="N108" s="7" t="str">
        <f t="shared" si="17"/>
        <v/>
      </c>
      <c r="O108" s="7" t="str">
        <f t="shared" si="18"/>
        <v/>
      </c>
      <c r="P108" t="str">
        <f t="shared" si="19"/>
        <v/>
      </c>
      <c r="Q108" t="str">
        <f>IF(C108="","",ProcessUrl(P108,"GetTestResults"))</f>
        <v/>
      </c>
      <c r="R108" s="10" t="str">
        <f>IF(C108="","",JsProcess("JsonItem",JsProcess("JsonItem",Q108,"Passed"),"count"))</f>
        <v/>
      </c>
      <c r="S108" s="10" t="str">
        <f>IF(C108="","",JsProcess("JsonItem",JsProcess("JsonItem",Q108,"NotExecuted"),"count"))</f>
        <v/>
      </c>
    </row>
    <row r="109" spans="4:19" x14ac:dyDescent="0.25">
      <c r="D109" t="str">
        <f>IF(C109="","",VLOOKUP(A109,Projects!A:B,2,FALSE))</f>
        <v/>
      </c>
      <c r="E109" s="1" t="str">
        <f t="shared" si="10"/>
        <v/>
      </c>
      <c r="F109" t="str">
        <f t="shared" si="11"/>
        <v/>
      </c>
      <c r="G109" t="str">
        <f>IF(C109="","",ProcessUrl(E109,F109))</f>
        <v/>
      </c>
      <c r="H109" t="str">
        <f t="shared" si="12"/>
        <v/>
      </c>
      <c r="I109" t="str">
        <f t="shared" si="13"/>
        <v/>
      </c>
      <c r="J109" t="str">
        <f>IF(C109="","",ProcessUrl(H109,I109))</f>
        <v/>
      </c>
      <c r="K109" s="7" t="str">
        <f t="shared" si="14"/>
        <v/>
      </c>
      <c r="L109" s="7" t="str">
        <f t="shared" si="15"/>
        <v/>
      </c>
      <c r="M109" s="7" t="str">
        <f t="shared" si="16"/>
        <v/>
      </c>
      <c r="N109" s="7" t="str">
        <f t="shared" si="17"/>
        <v/>
      </c>
      <c r="O109" s="7" t="str">
        <f t="shared" si="18"/>
        <v/>
      </c>
      <c r="P109" t="str">
        <f t="shared" si="19"/>
        <v/>
      </c>
      <c r="Q109" t="str">
        <f>IF(C109="","",ProcessUrl(P109,"GetTestResults"))</f>
        <v/>
      </c>
      <c r="R109" s="10" t="str">
        <f>IF(C109="","",JsProcess("JsonItem",JsProcess("JsonItem",Q109,"Passed"),"count"))</f>
        <v/>
      </c>
      <c r="S109" s="10" t="str">
        <f>IF(C109="","",JsProcess("JsonItem",JsProcess("JsonItem",Q109,"NotExecuted"),"count"))</f>
        <v/>
      </c>
    </row>
    <row r="110" spans="4:19" x14ac:dyDescent="0.25">
      <c r="D110" t="str">
        <f>IF(C110="","",VLOOKUP(A110,Projects!A:B,2,FALSE))</f>
        <v/>
      </c>
      <c r="E110" s="1" t="str">
        <f t="shared" si="10"/>
        <v/>
      </c>
      <c r="F110" t="str">
        <f t="shared" si="11"/>
        <v/>
      </c>
      <c r="G110" t="str">
        <f>IF(C110="","",ProcessUrl(E110,F110))</f>
        <v/>
      </c>
      <c r="H110" t="str">
        <f t="shared" si="12"/>
        <v/>
      </c>
      <c r="I110" t="str">
        <f t="shared" si="13"/>
        <v/>
      </c>
      <c r="J110" t="str">
        <f>IF(C110="","",ProcessUrl(H110,I110))</f>
        <v/>
      </c>
      <c r="K110" s="7" t="str">
        <f t="shared" si="14"/>
        <v/>
      </c>
      <c r="L110" s="7" t="str">
        <f t="shared" si="15"/>
        <v/>
      </c>
      <c r="M110" s="7" t="str">
        <f t="shared" si="16"/>
        <v/>
      </c>
      <c r="N110" s="7" t="str">
        <f t="shared" si="17"/>
        <v/>
      </c>
      <c r="O110" s="7" t="str">
        <f t="shared" si="18"/>
        <v/>
      </c>
      <c r="P110" t="str">
        <f t="shared" si="19"/>
        <v/>
      </c>
      <c r="Q110" t="str">
        <f>IF(C110="","",ProcessUrl(P110,"GetTestResults"))</f>
        <v/>
      </c>
      <c r="R110" s="10" t="str">
        <f>IF(C110="","",JsProcess("JsonItem",JsProcess("JsonItem",Q110,"Passed"),"count"))</f>
        <v/>
      </c>
      <c r="S110" s="10" t="str">
        <f>IF(C110="","",JsProcess("JsonItem",JsProcess("JsonItem",Q110,"NotExecuted"),"count"))</f>
        <v/>
      </c>
    </row>
    <row r="111" spans="4:19" x14ac:dyDescent="0.25">
      <c r="D111" t="str">
        <f>IF(C111="","",VLOOKUP(A111,Projects!A:B,2,FALSE))</f>
        <v/>
      </c>
      <c r="E111" s="1" t="str">
        <f t="shared" si="10"/>
        <v/>
      </c>
      <c r="F111" t="str">
        <f t="shared" si="11"/>
        <v/>
      </c>
      <c r="G111" t="str">
        <f>IF(C111="","",ProcessUrl(E111,F111))</f>
        <v/>
      </c>
      <c r="H111" t="str">
        <f t="shared" si="12"/>
        <v/>
      </c>
      <c r="I111" t="str">
        <f t="shared" si="13"/>
        <v/>
      </c>
      <c r="J111" t="str">
        <f>IF(C111="","",ProcessUrl(H111,I111))</f>
        <v/>
      </c>
      <c r="K111" s="7" t="str">
        <f t="shared" si="14"/>
        <v/>
      </c>
      <c r="L111" s="7" t="str">
        <f t="shared" si="15"/>
        <v/>
      </c>
      <c r="M111" s="7" t="str">
        <f t="shared" si="16"/>
        <v/>
      </c>
      <c r="N111" s="7" t="str">
        <f t="shared" si="17"/>
        <v/>
      </c>
      <c r="O111" s="7" t="str">
        <f t="shared" si="18"/>
        <v/>
      </c>
      <c r="P111" t="str">
        <f t="shared" si="19"/>
        <v/>
      </c>
      <c r="Q111" t="str">
        <f>IF(C111="","",ProcessUrl(P111,"GetTestResults"))</f>
        <v/>
      </c>
      <c r="R111" s="10" t="str">
        <f>IF(C111="","",JsProcess("JsonItem",JsProcess("JsonItem",Q111,"Passed"),"count"))</f>
        <v/>
      </c>
      <c r="S111" s="10" t="str">
        <f>IF(C111="","",JsProcess("JsonItem",JsProcess("JsonItem",Q111,"NotExecuted"),"count"))</f>
        <v/>
      </c>
    </row>
    <row r="112" spans="4:19" x14ac:dyDescent="0.25">
      <c r="D112" t="str">
        <f>IF(C112="","",VLOOKUP(A112,Projects!A:B,2,FALSE))</f>
        <v/>
      </c>
      <c r="E112" s="1" t="str">
        <f t="shared" si="10"/>
        <v/>
      </c>
      <c r="F112" t="str">
        <f t="shared" si="11"/>
        <v/>
      </c>
      <c r="G112" t="str">
        <f>IF(C112="","",ProcessUrl(E112,F112))</f>
        <v/>
      </c>
      <c r="H112" t="str">
        <f t="shared" si="12"/>
        <v/>
      </c>
      <c r="I112" t="str">
        <f t="shared" si="13"/>
        <v/>
      </c>
      <c r="J112" t="str">
        <f>IF(C112="","",ProcessUrl(H112,I112))</f>
        <v/>
      </c>
      <c r="K112" s="7" t="str">
        <f t="shared" si="14"/>
        <v/>
      </c>
      <c r="L112" s="7" t="str">
        <f t="shared" si="15"/>
        <v/>
      </c>
      <c r="M112" s="7" t="str">
        <f t="shared" si="16"/>
        <v/>
      </c>
      <c r="N112" s="7" t="str">
        <f t="shared" si="17"/>
        <v/>
      </c>
      <c r="O112" s="7" t="str">
        <f t="shared" si="18"/>
        <v/>
      </c>
      <c r="P112" t="str">
        <f t="shared" si="19"/>
        <v/>
      </c>
      <c r="Q112" t="str">
        <f>IF(C112="","",ProcessUrl(P112,"GetTestResults"))</f>
        <v/>
      </c>
      <c r="R112" s="10" t="str">
        <f>IF(C112="","",JsProcess("JsonItem",JsProcess("JsonItem",Q112,"Passed"),"count"))</f>
        <v/>
      </c>
      <c r="S112" s="10" t="str">
        <f>IF(C112="","",JsProcess("JsonItem",JsProcess("JsonItem",Q112,"NotExecuted"),"count"))</f>
        <v/>
      </c>
    </row>
    <row r="113" spans="4:19" x14ac:dyDescent="0.25">
      <c r="D113" t="str">
        <f>IF(C113="","",VLOOKUP(A113,Projects!A:B,2,FALSE))</f>
        <v/>
      </c>
      <c r="E113" s="1" t="str">
        <f t="shared" si="10"/>
        <v/>
      </c>
      <c r="F113" t="str">
        <f t="shared" si="11"/>
        <v/>
      </c>
      <c r="G113" t="str">
        <f>IF(C113="","",ProcessUrl(E113,F113))</f>
        <v/>
      </c>
      <c r="H113" t="str">
        <f t="shared" si="12"/>
        <v/>
      </c>
      <c r="I113" t="str">
        <f t="shared" si="13"/>
        <v/>
      </c>
      <c r="J113" t="str">
        <f>IF(C113="","",ProcessUrl(H113,I113))</f>
        <v/>
      </c>
      <c r="K113" s="7" t="str">
        <f t="shared" si="14"/>
        <v/>
      </c>
      <c r="L113" s="7" t="str">
        <f t="shared" si="15"/>
        <v/>
      </c>
      <c r="M113" s="7" t="str">
        <f t="shared" si="16"/>
        <v/>
      </c>
      <c r="N113" s="7" t="str">
        <f t="shared" si="17"/>
        <v/>
      </c>
      <c r="O113" s="7" t="str">
        <f t="shared" si="18"/>
        <v/>
      </c>
      <c r="P113" t="str">
        <f t="shared" si="19"/>
        <v/>
      </c>
      <c r="Q113" t="str">
        <f>IF(C113="","",ProcessUrl(P113,"GetTestResults"))</f>
        <v/>
      </c>
      <c r="R113" s="10" t="str">
        <f>IF(C113="","",JsProcess("JsonItem",JsProcess("JsonItem",Q113,"Passed"),"count"))</f>
        <v/>
      </c>
      <c r="S113" s="10" t="str">
        <f>IF(C113="","",JsProcess("JsonItem",JsProcess("JsonItem",Q113,"NotExecuted"),"count"))</f>
        <v/>
      </c>
    </row>
    <row r="114" spans="4:19" x14ac:dyDescent="0.25">
      <c r="D114" t="str">
        <f>IF(C114="","",VLOOKUP(A114,Projects!A:B,2,FALSE))</f>
        <v/>
      </c>
      <c r="E114" s="1" t="str">
        <f t="shared" si="10"/>
        <v/>
      </c>
      <c r="F114" t="str">
        <f t="shared" si="11"/>
        <v/>
      </c>
      <c r="G114" t="str">
        <f>IF(C114="","",ProcessUrl(E114,F114))</f>
        <v/>
      </c>
      <c r="H114" t="str">
        <f t="shared" si="12"/>
        <v/>
      </c>
      <c r="I114" t="str">
        <f t="shared" si="13"/>
        <v/>
      </c>
      <c r="J114" t="str">
        <f>IF(C114="","",ProcessUrl(H114,I114))</f>
        <v/>
      </c>
      <c r="K114" s="7" t="str">
        <f t="shared" si="14"/>
        <v/>
      </c>
      <c r="L114" s="7" t="str">
        <f t="shared" si="15"/>
        <v/>
      </c>
      <c r="M114" s="7" t="str">
        <f t="shared" si="16"/>
        <v/>
      </c>
      <c r="N114" s="7" t="str">
        <f t="shared" si="17"/>
        <v/>
      </c>
      <c r="O114" s="7" t="str">
        <f t="shared" si="18"/>
        <v/>
      </c>
      <c r="P114" t="str">
        <f t="shared" si="19"/>
        <v/>
      </c>
      <c r="Q114" t="str">
        <f>IF(C114="","",ProcessUrl(P114,"GetTestResults"))</f>
        <v/>
      </c>
      <c r="R114" s="10" t="str">
        <f>IF(C114="","",JsProcess("JsonItem",JsProcess("JsonItem",Q114,"Passed"),"count"))</f>
        <v/>
      </c>
      <c r="S114" s="10" t="str">
        <f>IF(C114="","",JsProcess("JsonItem",JsProcess("JsonItem",Q114,"NotExecuted"),"count"))</f>
        <v/>
      </c>
    </row>
    <row r="115" spans="4:19" x14ac:dyDescent="0.25">
      <c r="D115" t="str">
        <f>IF(C115="","",VLOOKUP(A115,Projects!A:B,2,FALSE))</f>
        <v/>
      </c>
      <c r="E115" s="1" t="str">
        <f t="shared" si="10"/>
        <v/>
      </c>
      <c r="F115" t="str">
        <f t="shared" si="11"/>
        <v/>
      </c>
      <c r="G115" t="str">
        <f>IF(C115="","",ProcessUrl(E115,F115))</f>
        <v/>
      </c>
      <c r="H115" t="str">
        <f t="shared" si="12"/>
        <v/>
      </c>
      <c r="I115" t="str">
        <f t="shared" si="13"/>
        <v/>
      </c>
      <c r="J115" t="str">
        <f>IF(C115="","",ProcessUrl(H115,I115))</f>
        <v/>
      </c>
      <c r="K115" s="7" t="str">
        <f t="shared" si="14"/>
        <v/>
      </c>
      <c r="L115" s="7" t="str">
        <f t="shared" si="15"/>
        <v/>
      </c>
      <c r="M115" s="7" t="str">
        <f t="shared" si="16"/>
        <v/>
      </c>
      <c r="N115" s="7" t="str">
        <f t="shared" si="17"/>
        <v/>
      </c>
      <c r="O115" s="7" t="str">
        <f t="shared" si="18"/>
        <v/>
      </c>
      <c r="P115" t="str">
        <f t="shared" si="19"/>
        <v/>
      </c>
      <c r="Q115" t="str">
        <f>IF(C115="","",ProcessUrl(P115,"GetTestResults"))</f>
        <v/>
      </c>
      <c r="R115" s="10" t="str">
        <f>IF(C115="","",JsProcess("JsonItem",JsProcess("JsonItem",Q115,"Passed"),"count"))</f>
        <v/>
      </c>
      <c r="S115" s="10" t="str">
        <f>IF(C115="","",JsProcess("JsonItem",JsProcess("JsonItem",Q115,"NotExecuted"),"count"))</f>
        <v/>
      </c>
    </row>
    <row r="116" spans="4:19" x14ac:dyDescent="0.25">
      <c r="D116" t="str">
        <f>IF(C116="","",VLOOKUP(A116,Projects!A:B,2,FALSE))</f>
        <v/>
      </c>
      <c r="E116" s="1" t="str">
        <f t="shared" si="10"/>
        <v/>
      </c>
      <c r="F116" t="str">
        <f t="shared" si="11"/>
        <v/>
      </c>
      <c r="G116" t="str">
        <f>IF(C116="","",ProcessUrl(E116,F116))</f>
        <v/>
      </c>
      <c r="H116" t="str">
        <f t="shared" si="12"/>
        <v/>
      </c>
      <c r="I116" t="str">
        <f t="shared" si="13"/>
        <v/>
      </c>
      <c r="J116" t="str">
        <f>IF(C116="","",ProcessUrl(H116,I116))</f>
        <v/>
      </c>
      <c r="K116" s="7" t="str">
        <f t="shared" si="14"/>
        <v/>
      </c>
      <c r="L116" s="7" t="str">
        <f t="shared" si="15"/>
        <v/>
      </c>
      <c r="M116" s="7" t="str">
        <f t="shared" si="16"/>
        <v/>
      </c>
      <c r="N116" s="7" t="str">
        <f t="shared" si="17"/>
        <v/>
      </c>
      <c r="O116" s="7" t="str">
        <f t="shared" si="18"/>
        <v/>
      </c>
      <c r="P116" t="str">
        <f t="shared" si="19"/>
        <v/>
      </c>
      <c r="Q116" t="str">
        <f>IF(C116="","",ProcessUrl(P116,"GetTestResults"))</f>
        <v/>
      </c>
      <c r="R116" s="10" t="str">
        <f>IF(C116="","",JsProcess("JsonItem",JsProcess("JsonItem",Q116,"Passed"),"count"))</f>
        <v/>
      </c>
      <c r="S116" s="10" t="str">
        <f>IF(C116="","",JsProcess("JsonItem",JsProcess("JsonItem",Q116,"NotExecuted"),"count"))</f>
        <v/>
      </c>
    </row>
    <row r="117" spans="4:19" x14ac:dyDescent="0.25">
      <c r="D117" t="str">
        <f>IF(C117="","",VLOOKUP(A117,Projects!A:B,2,FALSE))</f>
        <v/>
      </c>
      <c r="E117" s="1" t="str">
        <f t="shared" si="10"/>
        <v/>
      </c>
      <c r="F117" t="str">
        <f t="shared" si="11"/>
        <v/>
      </c>
      <c r="G117" t="str">
        <f>IF(C117="","",ProcessUrl(E117,F117))</f>
        <v/>
      </c>
      <c r="H117" t="str">
        <f t="shared" si="12"/>
        <v/>
      </c>
      <c r="I117" t="str">
        <f t="shared" si="13"/>
        <v/>
      </c>
      <c r="J117" t="str">
        <f>IF(C117="","",ProcessUrl(H117,I117))</f>
        <v/>
      </c>
      <c r="K117" s="7" t="str">
        <f t="shared" si="14"/>
        <v/>
      </c>
      <c r="L117" s="7" t="str">
        <f t="shared" si="15"/>
        <v/>
      </c>
      <c r="M117" s="7" t="str">
        <f t="shared" si="16"/>
        <v/>
      </c>
      <c r="N117" s="7" t="str">
        <f t="shared" si="17"/>
        <v/>
      </c>
      <c r="O117" s="7" t="str">
        <f t="shared" si="18"/>
        <v/>
      </c>
      <c r="P117" t="str">
        <f t="shared" si="19"/>
        <v/>
      </c>
      <c r="Q117" t="str">
        <f>IF(C117="","",ProcessUrl(P117,"GetTestResults"))</f>
        <v/>
      </c>
      <c r="R117" s="10" t="str">
        <f>IF(C117="","",JsProcess("JsonItem",JsProcess("JsonItem",Q117,"Passed"),"count"))</f>
        <v/>
      </c>
      <c r="S117" s="10" t="str">
        <f>IF(C117="","",JsProcess("JsonItem",JsProcess("JsonItem",Q117,"NotExecuted"),"count"))</f>
        <v/>
      </c>
    </row>
    <row r="118" spans="4:19" x14ac:dyDescent="0.25">
      <c r="D118" t="str">
        <f>IF(C118="","",VLOOKUP(A118,Projects!A:B,2,FALSE))</f>
        <v/>
      </c>
      <c r="E118" s="1" t="str">
        <f t="shared" si="10"/>
        <v/>
      </c>
      <c r="F118" t="str">
        <f t="shared" si="11"/>
        <v/>
      </c>
      <c r="G118" t="str">
        <f>IF(C118="","",ProcessUrl(E118,F118))</f>
        <v/>
      </c>
      <c r="H118" t="str">
        <f t="shared" si="12"/>
        <v/>
      </c>
      <c r="I118" t="str">
        <f t="shared" si="13"/>
        <v/>
      </c>
      <c r="J118" t="str">
        <f>IF(C118="","",ProcessUrl(H118,I118))</f>
        <v/>
      </c>
      <c r="K118" s="7" t="str">
        <f t="shared" si="14"/>
        <v/>
      </c>
      <c r="L118" s="7" t="str">
        <f t="shared" si="15"/>
        <v/>
      </c>
      <c r="M118" s="7" t="str">
        <f t="shared" si="16"/>
        <v/>
      </c>
      <c r="N118" s="7" t="str">
        <f t="shared" si="17"/>
        <v/>
      </c>
      <c r="O118" s="7" t="str">
        <f t="shared" si="18"/>
        <v/>
      </c>
      <c r="P118" t="str">
        <f t="shared" si="19"/>
        <v/>
      </c>
      <c r="Q118" t="str">
        <f>IF(C118="","",ProcessUrl(P118,"GetTestResults"))</f>
        <v/>
      </c>
      <c r="R118" s="10" t="str">
        <f>IF(C118="","",JsProcess("JsonItem",JsProcess("JsonItem",Q118,"Passed"),"count"))</f>
        <v/>
      </c>
      <c r="S118" s="10" t="str">
        <f>IF(C118="","",JsProcess("JsonItem",JsProcess("JsonItem",Q118,"NotExecuted"),"count"))</f>
        <v/>
      </c>
    </row>
    <row r="119" spans="4:19" x14ac:dyDescent="0.25">
      <c r="D119" t="str">
        <f>IF(C119="","",VLOOKUP(A119,Projects!A:B,2,FALSE))</f>
        <v/>
      </c>
      <c r="E119" s="1" t="str">
        <f t="shared" si="10"/>
        <v/>
      </c>
      <c r="F119" t="str">
        <f t="shared" si="11"/>
        <v/>
      </c>
      <c r="G119" t="str">
        <f>IF(C119="","",ProcessUrl(E119,F119))</f>
        <v/>
      </c>
      <c r="H119" t="str">
        <f t="shared" si="12"/>
        <v/>
      </c>
      <c r="I119" t="str">
        <f t="shared" si="13"/>
        <v/>
      </c>
      <c r="J119" t="str">
        <f>IF(C119="","",ProcessUrl(H119,I119))</f>
        <v/>
      </c>
      <c r="K119" s="7" t="str">
        <f t="shared" si="14"/>
        <v/>
      </c>
      <c r="L119" s="7" t="str">
        <f t="shared" si="15"/>
        <v/>
      </c>
      <c r="M119" s="7" t="str">
        <f t="shared" si="16"/>
        <v/>
      </c>
      <c r="N119" s="7" t="str">
        <f t="shared" si="17"/>
        <v/>
      </c>
      <c r="O119" s="7" t="str">
        <f t="shared" si="18"/>
        <v/>
      </c>
      <c r="P119" t="str">
        <f t="shared" si="19"/>
        <v/>
      </c>
      <c r="Q119" t="str">
        <f>IF(C119="","",ProcessUrl(P119,"GetTestResults"))</f>
        <v/>
      </c>
      <c r="R119" s="10" t="str">
        <f>IF(C119="","",JsProcess("JsonItem",JsProcess("JsonItem",Q119,"Passed"),"count"))</f>
        <v/>
      </c>
      <c r="S119" s="10" t="str">
        <f>IF(C119="","",JsProcess("JsonItem",JsProcess("JsonItem",Q119,"NotExecuted"),"count"))</f>
        <v/>
      </c>
    </row>
    <row r="120" spans="4:19" x14ac:dyDescent="0.25">
      <c r="D120" t="str">
        <f>IF(C120="","",VLOOKUP(A120,Projects!A:B,2,FALSE))</f>
        <v/>
      </c>
      <c r="E120" s="1" t="str">
        <f t="shared" si="10"/>
        <v/>
      </c>
      <c r="F120" t="str">
        <f t="shared" si="11"/>
        <v/>
      </c>
      <c r="G120" t="str">
        <f>IF(C120="","",ProcessUrl(E120,F120))</f>
        <v/>
      </c>
      <c r="H120" t="str">
        <f t="shared" si="12"/>
        <v/>
      </c>
      <c r="I120" t="str">
        <f t="shared" si="13"/>
        <v/>
      </c>
      <c r="J120" t="str">
        <f>IF(C120="","",ProcessUrl(H120,I120))</f>
        <v/>
      </c>
      <c r="K120" s="7" t="str">
        <f t="shared" si="14"/>
        <v/>
      </c>
      <c r="L120" s="7" t="str">
        <f t="shared" si="15"/>
        <v/>
      </c>
      <c r="M120" s="7" t="str">
        <f t="shared" si="16"/>
        <v/>
      </c>
      <c r="N120" s="7" t="str">
        <f t="shared" si="17"/>
        <v/>
      </c>
      <c r="O120" s="7" t="str">
        <f t="shared" si="18"/>
        <v/>
      </c>
      <c r="P120" t="str">
        <f t="shared" si="19"/>
        <v/>
      </c>
      <c r="Q120" t="str">
        <f>IF(C120="","",ProcessUrl(P120,"GetTestResults"))</f>
        <v/>
      </c>
      <c r="R120" s="10" t="str">
        <f>IF(C120="","",JsProcess("JsonItem",JsProcess("JsonItem",Q120,"Passed"),"count"))</f>
        <v/>
      </c>
      <c r="S120" s="10" t="str">
        <f>IF(C120="","",JsProcess("JsonItem",JsProcess("JsonItem",Q120,"NotExecuted"),"count"))</f>
        <v/>
      </c>
    </row>
    <row r="121" spans="4:19" x14ac:dyDescent="0.25">
      <c r="D121" t="str">
        <f>IF(C121="","",VLOOKUP(A121,Projects!A:B,2,FALSE))</f>
        <v/>
      </c>
      <c r="E121" s="1" t="str">
        <f t="shared" si="10"/>
        <v/>
      </c>
      <c r="F121" t="str">
        <f t="shared" si="11"/>
        <v/>
      </c>
      <c r="G121" t="str">
        <f>IF(C121="","",ProcessUrl(E121,F121))</f>
        <v/>
      </c>
      <c r="H121" t="str">
        <f t="shared" si="12"/>
        <v/>
      </c>
      <c r="I121" t="str">
        <f t="shared" si="13"/>
        <v/>
      </c>
      <c r="J121" t="str">
        <f>IF(C121="","",ProcessUrl(H121,I121))</f>
        <v/>
      </c>
      <c r="K121" s="7" t="str">
        <f t="shared" si="14"/>
        <v/>
      </c>
      <c r="L121" s="7" t="str">
        <f t="shared" si="15"/>
        <v/>
      </c>
      <c r="M121" s="7" t="str">
        <f t="shared" si="16"/>
        <v/>
      </c>
      <c r="N121" s="7" t="str">
        <f t="shared" si="17"/>
        <v/>
      </c>
      <c r="O121" s="7" t="str">
        <f t="shared" si="18"/>
        <v/>
      </c>
      <c r="P121" t="str">
        <f t="shared" si="19"/>
        <v/>
      </c>
      <c r="Q121" t="str">
        <f>IF(C121="","",ProcessUrl(P121,"GetTestResults"))</f>
        <v/>
      </c>
      <c r="R121" s="10" t="str">
        <f>IF(C121="","",JsProcess("JsonItem",JsProcess("JsonItem",Q121,"Passed"),"count"))</f>
        <v/>
      </c>
      <c r="S121" s="10" t="str">
        <f>IF(C121="","",JsProcess("JsonItem",JsProcess("JsonItem",Q121,"NotExecuted"),"count"))</f>
        <v/>
      </c>
    </row>
    <row r="122" spans="4:19" x14ac:dyDescent="0.25">
      <c r="D122" t="str">
        <f>IF(C122="","",VLOOKUP(A122,Projects!A:B,2,FALSE))</f>
        <v/>
      </c>
      <c r="E122" s="1" t="str">
        <f t="shared" si="10"/>
        <v/>
      </c>
      <c r="F122" t="str">
        <f t="shared" si="11"/>
        <v/>
      </c>
      <c r="G122" t="str">
        <f>IF(C122="","",ProcessUrl(E122,F122))</f>
        <v/>
      </c>
      <c r="H122" t="str">
        <f t="shared" si="12"/>
        <v/>
      </c>
      <c r="I122" t="str">
        <f t="shared" si="13"/>
        <v/>
      </c>
      <c r="J122" t="str">
        <f>IF(C122="","",ProcessUrl(H122,I122))</f>
        <v/>
      </c>
      <c r="K122" s="7" t="str">
        <f t="shared" si="14"/>
        <v/>
      </c>
      <c r="L122" s="7" t="str">
        <f t="shared" si="15"/>
        <v/>
      </c>
      <c r="M122" s="7" t="str">
        <f t="shared" si="16"/>
        <v/>
      </c>
      <c r="N122" s="7" t="str">
        <f t="shared" si="17"/>
        <v/>
      </c>
      <c r="O122" s="7" t="str">
        <f t="shared" si="18"/>
        <v/>
      </c>
      <c r="P122" t="str">
        <f t="shared" si="19"/>
        <v/>
      </c>
      <c r="Q122" t="str">
        <f>IF(C122="","",ProcessUrl(P122,"GetTestResults"))</f>
        <v/>
      </c>
      <c r="R122" s="10" t="str">
        <f>IF(C122="","",JsProcess("JsonItem",JsProcess("JsonItem",Q122,"Passed"),"count"))</f>
        <v/>
      </c>
      <c r="S122" s="10" t="str">
        <f>IF(C122="","",JsProcess("JsonItem",JsProcess("JsonItem",Q122,"NotExecuted"),"count"))</f>
        <v/>
      </c>
    </row>
    <row r="123" spans="4:19" x14ac:dyDescent="0.25">
      <c r="D123" t="str">
        <f>IF(C123="","",VLOOKUP(A123,Projects!A:B,2,FALSE))</f>
        <v/>
      </c>
      <c r="E123" s="1" t="str">
        <f t="shared" si="10"/>
        <v/>
      </c>
      <c r="F123" t="str">
        <f t="shared" si="11"/>
        <v/>
      </c>
      <c r="G123" t="str">
        <f>IF(C123="","",ProcessUrl(E123,F123))</f>
        <v/>
      </c>
      <c r="H123" t="str">
        <f t="shared" si="12"/>
        <v/>
      </c>
      <c r="I123" t="str">
        <f t="shared" si="13"/>
        <v/>
      </c>
      <c r="J123" t="str">
        <f>IF(C123="","",ProcessUrl(H123,I123))</f>
        <v/>
      </c>
      <c r="K123" s="7" t="str">
        <f t="shared" si="14"/>
        <v/>
      </c>
      <c r="L123" s="7" t="str">
        <f t="shared" si="15"/>
        <v/>
      </c>
      <c r="M123" s="7" t="str">
        <f t="shared" si="16"/>
        <v/>
      </c>
      <c r="N123" s="7" t="str">
        <f t="shared" si="17"/>
        <v/>
      </c>
      <c r="O123" s="7" t="str">
        <f t="shared" si="18"/>
        <v/>
      </c>
      <c r="P123" t="str">
        <f t="shared" si="19"/>
        <v/>
      </c>
      <c r="Q123" t="str">
        <f>IF(C123="","",ProcessUrl(P123,"GetTestResults"))</f>
        <v/>
      </c>
      <c r="R123" s="10" t="str">
        <f>IF(C123="","",JsProcess("JsonItem",JsProcess("JsonItem",Q123,"Passed"),"count"))</f>
        <v/>
      </c>
      <c r="S123" s="10" t="str">
        <f>IF(C123="","",JsProcess("JsonItem",JsProcess("JsonItem",Q123,"NotExecuted"),"count"))</f>
        <v/>
      </c>
    </row>
    <row r="124" spans="4:19" x14ac:dyDescent="0.25">
      <c r="D124" t="str">
        <f>IF(C124="","",VLOOKUP(A124,Projects!A:B,2,FALSE))</f>
        <v/>
      </c>
      <c r="E124" s="1" t="str">
        <f t="shared" si="10"/>
        <v/>
      </c>
      <c r="F124" t="str">
        <f t="shared" si="11"/>
        <v/>
      </c>
      <c r="G124" t="str">
        <f>IF(C124="","",ProcessUrl(E124,F124))</f>
        <v/>
      </c>
      <c r="H124" t="str">
        <f t="shared" si="12"/>
        <v/>
      </c>
      <c r="I124" t="str">
        <f t="shared" si="13"/>
        <v/>
      </c>
      <c r="J124" t="str">
        <f>IF(C124="","",ProcessUrl(H124,I124))</f>
        <v/>
      </c>
      <c r="K124" s="7" t="str">
        <f t="shared" si="14"/>
        <v/>
      </c>
      <c r="L124" s="7" t="str">
        <f t="shared" si="15"/>
        <v/>
      </c>
      <c r="M124" s="7" t="str">
        <f t="shared" si="16"/>
        <v/>
      </c>
      <c r="N124" s="7" t="str">
        <f t="shared" si="17"/>
        <v/>
      </c>
      <c r="O124" s="7" t="str">
        <f t="shared" si="18"/>
        <v/>
      </c>
      <c r="P124" t="str">
        <f t="shared" si="19"/>
        <v/>
      </c>
      <c r="Q124" t="str">
        <f>IF(C124="","",ProcessUrl(P124,"GetTestResults"))</f>
        <v/>
      </c>
      <c r="R124" s="10" t="str">
        <f>IF(C124="","",JsProcess("JsonItem",JsProcess("JsonItem",Q124,"Passed"),"count"))</f>
        <v/>
      </c>
      <c r="S124" s="10" t="str">
        <f>IF(C124="","",JsProcess("JsonItem",JsProcess("JsonItem",Q124,"NotExecuted"),"count"))</f>
        <v/>
      </c>
    </row>
    <row r="125" spans="4:19" x14ac:dyDescent="0.25">
      <c r="D125" t="str">
        <f>IF(C125="","",VLOOKUP(A125,Projects!A:B,2,FALSE))</f>
        <v/>
      </c>
      <c r="E125" s="1" t="str">
        <f t="shared" si="10"/>
        <v/>
      </c>
      <c r="F125" t="str">
        <f t="shared" si="11"/>
        <v/>
      </c>
      <c r="G125" t="str">
        <f>IF(C125="","",ProcessUrl(E125,F125))</f>
        <v/>
      </c>
      <c r="H125" t="str">
        <f t="shared" si="12"/>
        <v/>
      </c>
      <c r="I125" t="str">
        <f t="shared" si="13"/>
        <v/>
      </c>
      <c r="J125" t="str">
        <f>IF(C125="","",ProcessUrl(H125,I125))</f>
        <v/>
      </c>
      <c r="K125" s="7" t="str">
        <f t="shared" si="14"/>
        <v/>
      </c>
      <c r="L125" s="7" t="str">
        <f t="shared" si="15"/>
        <v/>
      </c>
      <c r="M125" s="7" t="str">
        <f t="shared" si="16"/>
        <v/>
      </c>
      <c r="N125" s="7" t="str">
        <f t="shared" si="17"/>
        <v/>
      </c>
      <c r="O125" s="7" t="str">
        <f t="shared" si="18"/>
        <v/>
      </c>
      <c r="P125" t="str">
        <f t="shared" si="19"/>
        <v/>
      </c>
      <c r="Q125" t="str">
        <f>IF(C125="","",ProcessUrl(P125,"GetTestResults"))</f>
        <v/>
      </c>
      <c r="R125" s="10" t="str">
        <f>IF(C125="","",JsProcess("JsonItem",JsProcess("JsonItem",Q125,"Passed"),"count"))</f>
        <v/>
      </c>
      <c r="S125" s="10" t="str">
        <f>IF(C125="","",JsProcess("JsonItem",JsProcess("JsonItem",Q125,"NotExecuted"),"count"))</f>
        <v/>
      </c>
    </row>
    <row r="126" spans="4:19" x14ac:dyDescent="0.25">
      <c r="D126" t="str">
        <f>IF(C126="","",VLOOKUP(A126,Projects!A:B,2,FALSE))</f>
        <v/>
      </c>
      <c r="E126" s="1" t="str">
        <f t="shared" si="10"/>
        <v/>
      </c>
      <c r="F126" t="str">
        <f t="shared" si="11"/>
        <v/>
      </c>
      <c r="G126" t="str">
        <f>IF(C126="","",ProcessUrl(E126,F126))</f>
        <v/>
      </c>
      <c r="H126" t="str">
        <f t="shared" si="12"/>
        <v/>
      </c>
      <c r="I126" t="str">
        <f t="shared" si="13"/>
        <v/>
      </c>
      <c r="J126" t="str">
        <f>IF(C126="","",ProcessUrl(H126,I126))</f>
        <v/>
      </c>
      <c r="K126" s="7" t="str">
        <f t="shared" si="14"/>
        <v/>
      </c>
      <c r="L126" s="7" t="str">
        <f t="shared" si="15"/>
        <v/>
      </c>
      <c r="M126" s="7" t="str">
        <f t="shared" si="16"/>
        <v/>
      </c>
      <c r="N126" s="7" t="str">
        <f t="shared" si="17"/>
        <v/>
      </c>
      <c r="O126" s="7" t="str">
        <f t="shared" si="18"/>
        <v/>
      </c>
      <c r="P126" t="str">
        <f t="shared" si="19"/>
        <v/>
      </c>
      <c r="Q126" t="str">
        <f>IF(C126="","",ProcessUrl(P126,"GetTestResults"))</f>
        <v/>
      </c>
      <c r="R126" s="10" t="str">
        <f>IF(C126="","",JsProcess("JsonItem",JsProcess("JsonItem",Q126,"Passed"),"count"))</f>
        <v/>
      </c>
      <c r="S126" s="10" t="str">
        <f>IF(C126="","",JsProcess("JsonItem",JsProcess("JsonItem",Q126,"NotExecuted"),"count"))</f>
        <v/>
      </c>
    </row>
    <row r="127" spans="4:19" x14ac:dyDescent="0.25">
      <c r="D127" t="str">
        <f>IF(C127="","",VLOOKUP(A127,Projects!A:B,2,FALSE))</f>
        <v/>
      </c>
      <c r="E127" s="1" t="str">
        <f t="shared" si="10"/>
        <v/>
      </c>
      <c r="F127" t="str">
        <f t="shared" si="11"/>
        <v/>
      </c>
      <c r="G127" t="str">
        <f>IF(C127="","",ProcessUrl(E127,F127))</f>
        <v/>
      </c>
      <c r="H127" t="str">
        <f t="shared" si="12"/>
        <v/>
      </c>
      <c r="I127" t="str">
        <f t="shared" si="13"/>
        <v/>
      </c>
      <c r="J127" t="str">
        <f>IF(C127="","",ProcessUrl(H127,I127))</f>
        <v/>
      </c>
      <c r="K127" s="7" t="str">
        <f t="shared" si="14"/>
        <v/>
      </c>
      <c r="L127" s="7" t="str">
        <f t="shared" si="15"/>
        <v/>
      </c>
      <c r="M127" s="7" t="str">
        <f t="shared" si="16"/>
        <v/>
      </c>
      <c r="N127" s="7" t="str">
        <f t="shared" si="17"/>
        <v/>
      </c>
      <c r="O127" s="7" t="str">
        <f t="shared" si="18"/>
        <v/>
      </c>
      <c r="P127" t="str">
        <f t="shared" si="19"/>
        <v/>
      </c>
      <c r="Q127" t="str">
        <f>IF(C127="","",ProcessUrl(P127,"GetTestResults"))</f>
        <v/>
      </c>
      <c r="R127" s="10" t="str">
        <f>IF(C127="","",JsProcess("JsonItem",JsProcess("JsonItem",Q127,"Passed"),"count"))</f>
        <v/>
      </c>
      <c r="S127" s="10" t="str">
        <f>IF(C127="","",JsProcess("JsonItem",JsProcess("JsonItem",Q127,"NotExecuted"),"count"))</f>
        <v/>
      </c>
    </row>
    <row r="128" spans="4:19" x14ac:dyDescent="0.25">
      <c r="D128" t="str">
        <f>IF(C128="","",VLOOKUP(A128,Projects!A:B,2,FALSE))</f>
        <v/>
      </c>
      <c r="E128" s="1" t="str">
        <f t="shared" si="10"/>
        <v/>
      </c>
      <c r="F128" t="str">
        <f t="shared" si="11"/>
        <v/>
      </c>
      <c r="G128" t="str">
        <f>IF(C128="","",ProcessUrl(E128,F128))</f>
        <v/>
      </c>
      <c r="H128" t="str">
        <f t="shared" si="12"/>
        <v/>
      </c>
      <c r="I128" t="str">
        <f t="shared" si="13"/>
        <v/>
      </c>
      <c r="J128" t="str">
        <f>IF(C128="","",ProcessUrl(H128,I128))</f>
        <v/>
      </c>
      <c r="K128" s="7" t="str">
        <f t="shared" si="14"/>
        <v/>
      </c>
      <c r="L128" s="7" t="str">
        <f t="shared" si="15"/>
        <v/>
      </c>
      <c r="M128" s="7" t="str">
        <f t="shared" si="16"/>
        <v/>
      </c>
      <c r="N128" s="7" t="str">
        <f t="shared" si="17"/>
        <v/>
      </c>
      <c r="O128" s="7" t="str">
        <f t="shared" si="18"/>
        <v/>
      </c>
      <c r="P128" t="str">
        <f t="shared" si="19"/>
        <v/>
      </c>
      <c r="Q128" t="str">
        <f>IF(C128="","",ProcessUrl(P128,"GetTestResults"))</f>
        <v/>
      </c>
      <c r="R128" s="10" t="str">
        <f>IF(C128="","",JsProcess("JsonItem",JsProcess("JsonItem",Q128,"Passed"),"count"))</f>
        <v/>
      </c>
      <c r="S128" s="10" t="str">
        <f>IF(C128="","",JsProcess("JsonItem",JsProcess("JsonItem",Q128,"NotExecuted"),"count"))</f>
        <v/>
      </c>
    </row>
    <row r="129" spans="4:19" x14ac:dyDescent="0.25">
      <c r="D129" t="str">
        <f>IF(C129="","",VLOOKUP(A129,Projects!A:B,2,FALSE))</f>
        <v/>
      </c>
      <c r="E129" s="1" t="str">
        <f t="shared" si="10"/>
        <v/>
      </c>
      <c r="F129" t="str">
        <f t="shared" si="11"/>
        <v/>
      </c>
      <c r="G129" t="str">
        <f>IF(C129="","",ProcessUrl(E129,F129))</f>
        <v/>
      </c>
      <c r="H129" t="str">
        <f t="shared" si="12"/>
        <v/>
      </c>
      <c r="I129" t="str">
        <f t="shared" si="13"/>
        <v/>
      </c>
      <c r="J129" t="str">
        <f>IF(C129="","",ProcessUrl(H129,I129))</f>
        <v/>
      </c>
      <c r="K129" s="7" t="str">
        <f t="shared" si="14"/>
        <v/>
      </c>
      <c r="L129" s="7" t="str">
        <f t="shared" si="15"/>
        <v/>
      </c>
      <c r="M129" s="7" t="str">
        <f t="shared" si="16"/>
        <v/>
      </c>
      <c r="N129" s="7" t="str">
        <f t="shared" si="17"/>
        <v/>
      </c>
      <c r="O129" s="7" t="str">
        <f t="shared" si="18"/>
        <v/>
      </c>
      <c r="P129" t="str">
        <f t="shared" si="19"/>
        <v/>
      </c>
      <c r="Q129" t="str">
        <f>IF(C129="","",ProcessUrl(P129,"GetTestResults"))</f>
        <v/>
      </c>
      <c r="R129" s="10" t="str">
        <f>IF(C129="","",JsProcess("JsonItem",JsProcess("JsonItem",Q129,"Passed"),"count"))</f>
        <v/>
      </c>
      <c r="S129" s="10" t="str">
        <f>IF(C129="","",JsProcess("JsonItem",JsProcess("JsonItem",Q129,"NotExecuted"),"count"))</f>
        <v/>
      </c>
    </row>
    <row r="130" spans="4:19" x14ac:dyDescent="0.25">
      <c r="D130" t="str">
        <f>IF(C130="","",VLOOKUP(A130,Projects!A:B,2,FALSE))</f>
        <v/>
      </c>
      <c r="E130" s="1" t="str">
        <f t="shared" si="10"/>
        <v/>
      </c>
      <c r="F130" t="str">
        <f t="shared" si="11"/>
        <v/>
      </c>
      <c r="G130" t="str">
        <f>IF(C130="","",ProcessUrl(E130,F130))</f>
        <v/>
      </c>
      <c r="H130" t="str">
        <f t="shared" si="12"/>
        <v/>
      </c>
      <c r="I130" t="str">
        <f t="shared" si="13"/>
        <v/>
      </c>
      <c r="J130" t="str">
        <f>IF(C130="","",ProcessUrl(H130,I130))</f>
        <v/>
      </c>
      <c r="K130" s="7" t="str">
        <f t="shared" si="14"/>
        <v/>
      </c>
      <c r="L130" s="7" t="str">
        <f t="shared" si="15"/>
        <v/>
      </c>
      <c r="M130" s="7" t="str">
        <f t="shared" si="16"/>
        <v/>
      </c>
      <c r="N130" s="7" t="str">
        <f t="shared" si="17"/>
        <v/>
      </c>
      <c r="O130" s="7" t="str">
        <f t="shared" si="18"/>
        <v/>
      </c>
      <c r="P130" t="str">
        <f t="shared" si="19"/>
        <v/>
      </c>
      <c r="Q130" t="str">
        <f>IF(C130="","",ProcessUrl(P130,"GetTestResults"))</f>
        <v/>
      </c>
      <c r="R130" s="10" t="str">
        <f>IF(C130="","",JsProcess("JsonItem",JsProcess("JsonItem",Q130,"Passed"),"count"))</f>
        <v/>
      </c>
      <c r="S130" s="10" t="str">
        <f>IF(C130="","",JsProcess("JsonItem",JsProcess("JsonItem",Q130,"NotExecuted"),"count"))</f>
        <v/>
      </c>
    </row>
    <row r="131" spans="4:19" x14ac:dyDescent="0.25">
      <c r="D131" t="str">
        <f>IF(C131="","",VLOOKUP(A131,Projects!A:B,2,FALSE))</f>
        <v/>
      </c>
      <c r="E131" s="1" t="str">
        <f t="shared" si="10"/>
        <v/>
      </c>
      <c r="F131" t="str">
        <f t="shared" si="11"/>
        <v/>
      </c>
      <c r="G131" t="str">
        <f>IF(C131="","",ProcessUrl(E131,F131))</f>
        <v/>
      </c>
      <c r="H131" t="str">
        <f t="shared" si="12"/>
        <v/>
      </c>
      <c r="I131" t="str">
        <f t="shared" si="13"/>
        <v/>
      </c>
      <c r="J131" t="str">
        <f>IF(C131="","",ProcessUrl(H131,I131))</f>
        <v/>
      </c>
      <c r="K131" s="7" t="str">
        <f t="shared" si="14"/>
        <v/>
      </c>
      <c r="L131" s="7" t="str">
        <f t="shared" si="15"/>
        <v/>
      </c>
      <c r="M131" s="7" t="str">
        <f t="shared" si="16"/>
        <v/>
      </c>
      <c r="N131" s="7" t="str">
        <f t="shared" si="17"/>
        <v/>
      </c>
      <c r="O131" s="7" t="str">
        <f t="shared" si="18"/>
        <v/>
      </c>
      <c r="P131" t="str">
        <f t="shared" si="19"/>
        <v/>
      </c>
      <c r="Q131" t="str">
        <f>IF(C131="","",ProcessUrl(P131,"GetTestResults"))</f>
        <v/>
      </c>
      <c r="R131" s="10" t="str">
        <f>IF(C131="","",JsProcess("JsonItem",JsProcess("JsonItem",Q131,"Passed"),"count"))</f>
        <v/>
      </c>
      <c r="S131" s="10" t="str">
        <f>IF(C131="","",JsProcess("JsonItem",JsProcess("JsonItem",Q131,"NotExecuted"),"count"))</f>
        <v/>
      </c>
    </row>
    <row r="132" spans="4:19" x14ac:dyDescent="0.25">
      <c r="D132" t="str">
        <f>IF(C132="","",VLOOKUP(A132,Projects!A:B,2,FALSE))</f>
        <v/>
      </c>
      <c r="E132" s="1" t="str">
        <f t="shared" ref="E132:E195" si="20">IF(C132="","","http://tfs.ttx.com:8080/tfs/DefaultCollection/"&amp;D132&amp;"/_apis/build/Builds?%24top=25&amp;statusFilter=2&amp;definitions="&amp;C132)</f>
        <v/>
      </c>
      <c r="F132" t="str">
        <f t="shared" ref="F132:F195" si="21">IF(C132="","","GetRecentBuildId")</f>
        <v/>
      </c>
      <c r="G132" t="str">
        <f>IF(C132="","",ProcessUrl(E132,F132))</f>
        <v/>
      </c>
      <c r="H132" t="str">
        <f t="shared" ref="H132:H195" si="22">IF(C132="","","http://tfs.ttx.com:8080/tfs/DefaultCollection/"&amp;D132&amp;"/_apis/test/CodeCoverage?buildId="&amp;G132&amp;"&amp;flags=1")</f>
        <v/>
      </c>
      <c r="I132" t="str">
        <f t="shared" ref="I132:I195" si="23">IF(C132="","","GetCodeCoverage")</f>
        <v/>
      </c>
      <c r="J132" t="str">
        <f>IF(C132="","",ProcessUrl(H132,I132))</f>
        <v/>
      </c>
      <c r="K132" s="7" t="str">
        <f t="shared" ref="K132:K195" si="24">IF(C132="","",JsProcess("JsonItem",J132,"blocksCovered"))</f>
        <v/>
      </c>
      <c r="L132" s="7" t="str">
        <f t="shared" ref="L132:L195" si="25">IF(C132="","",JsProcess("JsonItem",J132,"blocksNotCovered"))</f>
        <v/>
      </c>
      <c r="M132" s="7" t="str">
        <f t="shared" ref="M132:M195" si="26">IF(C132="","",JsProcess("JsonItem",J132,"linesCovered"))</f>
        <v/>
      </c>
      <c r="N132" s="7" t="str">
        <f t="shared" ref="N132:N195" si="27">IF(C132="","",JsProcess("JsonItem",J132,"linesNotCovered"))</f>
        <v/>
      </c>
      <c r="O132" s="7" t="str">
        <f t="shared" ref="O132:O195" si="28">IF(C132="","",JsProcess("JsonItem",J132,"linesPartiallyCovered"))</f>
        <v/>
      </c>
      <c r="P132" t="str">
        <f t="shared" ref="P132:P195" si="29">IF(C132="","","http://tfs.ttx.com:8080/tfs/DefaultCollection/"&amp;A132&amp;"/_apis/test/ReportForBuild/"&amp;G132&amp;"?sourceWorkflow=CI&amp;includeFailureDetails=true ")</f>
        <v/>
      </c>
      <c r="Q132" t="str">
        <f>IF(C132="","",ProcessUrl(P132,"GetTestResults"))</f>
        <v/>
      </c>
      <c r="R132" s="10" t="str">
        <f>IF(C132="","",JsProcess("JsonItem",JsProcess("JsonItem",Q132,"Passed"),"count"))</f>
        <v/>
      </c>
      <c r="S132" s="10" t="str">
        <f>IF(C132="","",JsProcess("JsonItem",JsProcess("JsonItem",Q132,"NotExecuted"),"count"))</f>
        <v/>
      </c>
    </row>
    <row r="133" spans="4:19" x14ac:dyDescent="0.25">
      <c r="D133" t="str">
        <f>IF(C133="","",VLOOKUP(A133,Projects!A:B,2,FALSE))</f>
        <v/>
      </c>
      <c r="E133" s="1" t="str">
        <f t="shared" si="20"/>
        <v/>
      </c>
      <c r="F133" t="str">
        <f t="shared" si="21"/>
        <v/>
      </c>
      <c r="G133" t="str">
        <f>IF(C133="","",ProcessUrl(E133,F133))</f>
        <v/>
      </c>
      <c r="H133" t="str">
        <f t="shared" si="22"/>
        <v/>
      </c>
      <c r="I133" t="str">
        <f t="shared" si="23"/>
        <v/>
      </c>
      <c r="J133" t="str">
        <f>IF(C133="","",ProcessUrl(H133,I133))</f>
        <v/>
      </c>
      <c r="K133" s="7" t="str">
        <f t="shared" si="24"/>
        <v/>
      </c>
      <c r="L133" s="7" t="str">
        <f t="shared" si="25"/>
        <v/>
      </c>
      <c r="M133" s="7" t="str">
        <f t="shared" si="26"/>
        <v/>
      </c>
      <c r="N133" s="7" t="str">
        <f t="shared" si="27"/>
        <v/>
      </c>
      <c r="O133" s="7" t="str">
        <f t="shared" si="28"/>
        <v/>
      </c>
      <c r="P133" t="str">
        <f t="shared" si="29"/>
        <v/>
      </c>
      <c r="Q133" t="str">
        <f>IF(C133="","",ProcessUrl(P133,"GetTestResults"))</f>
        <v/>
      </c>
      <c r="R133" s="10" t="str">
        <f>IF(C133="","",JsProcess("JsonItem",JsProcess("JsonItem",Q133,"Passed"),"count"))</f>
        <v/>
      </c>
      <c r="S133" s="10" t="str">
        <f>IF(C133="","",JsProcess("JsonItem",JsProcess("JsonItem",Q133,"NotExecuted"),"count"))</f>
        <v/>
      </c>
    </row>
    <row r="134" spans="4:19" x14ac:dyDescent="0.25">
      <c r="D134" t="str">
        <f>IF(C134="","",VLOOKUP(A134,Projects!A:B,2,FALSE))</f>
        <v/>
      </c>
      <c r="E134" s="1" t="str">
        <f t="shared" si="20"/>
        <v/>
      </c>
      <c r="F134" t="str">
        <f t="shared" si="21"/>
        <v/>
      </c>
      <c r="G134" t="str">
        <f>IF(C134="","",ProcessUrl(E134,F134))</f>
        <v/>
      </c>
      <c r="H134" t="str">
        <f t="shared" si="22"/>
        <v/>
      </c>
      <c r="I134" t="str">
        <f t="shared" si="23"/>
        <v/>
      </c>
      <c r="J134" t="str">
        <f>IF(C134="","",ProcessUrl(H134,I134))</f>
        <v/>
      </c>
      <c r="K134" s="7" t="str">
        <f t="shared" si="24"/>
        <v/>
      </c>
      <c r="L134" s="7" t="str">
        <f t="shared" si="25"/>
        <v/>
      </c>
      <c r="M134" s="7" t="str">
        <f t="shared" si="26"/>
        <v/>
      </c>
      <c r="N134" s="7" t="str">
        <f t="shared" si="27"/>
        <v/>
      </c>
      <c r="O134" s="7" t="str">
        <f t="shared" si="28"/>
        <v/>
      </c>
      <c r="P134" t="str">
        <f t="shared" si="29"/>
        <v/>
      </c>
      <c r="Q134" t="str">
        <f>IF(C134="","",ProcessUrl(P134,"GetTestResults"))</f>
        <v/>
      </c>
      <c r="R134" s="10" t="str">
        <f>IF(C134="","",JsProcess("JsonItem",JsProcess("JsonItem",Q134,"Passed"),"count"))</f>
        <v/>
      </c>
      <c r="S134" s="10" t="str">
        <f>IF(C134="","",JsProcess("JsonItem",JsProcess("JsonItem",Q134,"NotExecuted"),"count"))</f>
        <v/>
      </c>
    </row>
    <row r="135" spans="4:19" x14ac:dyDescent="0.25">
      <c r="D135" t="str">
        <f>IF(C135="","",VLOOKUP(A135,Projects!A:B,2,FALSE))</f>
        <v/>
      </c>
      <c r="E135" s="1" t="str">
        <f t="shared" si="20"/>
        <v/>
      </c>
      <c r="F135" t="str">
        <f t="shared" si="21"/>
        <v/>
      </c>
      <c r="G135" t="str">
        <f>IF(C135="","",ProcessUrl(E135,F135))</f>
        <v/>
      </c>
      <c r="H135" t="str">
        <f t="shared" si="22"/>
        <v/>
      </c>
      <c r="I135" t="str">
        <f t="shared" si="23"/>
        <v/>
      </c>
      <c r="J135" t="str">
        <f>IF(C135="","",ProcessUrl(H135,I135))</f>
        <v/>
      </c>
      <c r="K135" s="7" t="str">
        <f t="shared" si="24"/>
        <v/>
      </c>
      <c r="L135" s="7" t="str">
        <f t="shared" si="25"/>
        <v/>
      </c>
      <c r="M135" s="7" t="str">
        <f t="shared" si="26"/>
        <v/>
      </c>
      <c r="N135" s="7" t="str">
        <f t="shared" si="27"/>
        <v/>
      </c>
      <c r="O135" s="7" t="str">
        <f t="shared" si="28"/>
        <v/>
      </c>
      <c r="P135" t="str">
        <f t="shared" si="29"/>
        <v/>
      </c>
      <c r="Q135" t="str">
        <f>IF(C135="","",ProcessUrl(P135,"GetTestResults"))</f>
        <v/>
      </c>
      <c r="R135" s="10" t="str">
        <f>IF(C135="","",JsProcess("JsonItem",JsProcess("JsonItem",Q135,"Passed"),"count"))</f>
        <v/>
      </c>
      <c r="S135" s="10" t="str">
        <f>IF(C135="","",JsProcess("JsonItem",JsProcess("JsonItem",Q135,"NotExecuted"),"count"))</f>
        <v/>
      </c>
    </row>
    <row r="136" spans="4:19" x14ac:dyDescent="0.25">
      <c r="D136" t="str">
        <f>IF(C136="","",VLOOKUP(A136,Projects!A:B,2,FALSE))</f>
        <v/>
      </c>
      <c r="E136" s="1" t="str">
        <f t="shared" si="20"/>
        <v/>
      </c>
      <c r="F136" t="str">
        <f t="shared" si="21"/>
        <v/>
      </c>
      <c r="G136" t="str">
        <f>IF(C136="","",ProcessUrl(E136,F136))</f>
        <v/>
      </c>
      <c r="H136" t="str">
        <f t="shared" si="22"/>
        <v/>
      </c>
      <c r="I136" t="str">
        <f t="shared" si="23"/>
        <v/>
      </c>
      <c r="J136" t="str">
        <f>IF(C136="","",ProcessUrl(H136,I136))</f>
        <v/>
      </c>
      <c r="K136" s="7" t="str">
        <f t="shared" si="24"/>
        <v/>
      </c>
      <c r="L136" s="7" t="str">
        <f t="shared" si="25"/>
        <v/>
      </c>
      <c r="M136" s="7" t="str">
        <f t="shared" si="26"/>
        <v/>
      </c>
      <c r="N136" s="7" t="str">
        <f t="shared" si="27"/>
        <v/>
      </c>
      <c r="O136" s="7" t="str">
        <f t="shared" si="28"/>
        <v/>
      </c>
      <c r="P136" t="str">
        <f t="shared" si="29"/>
        <v/>
      </c>
      <c r="Q136" t="str">
        <f>IF(C136="","",ProcessUrl(P136,"GetTestResults"))</f>
        <v/>
      </c>
      <c r="R136" s="10" t="str">
        <f>IF(C136="","",JsProcess("JsonItem",JsProcess("JsonItem",Q136,"Passed"),"count"))</f>
        <v/>
      </c>
      <c r="S136" s="10" t="str">
        <f>IF(C136="","",JsProcess("JsonItem",JsProcess("JsonItem",Q136,"NotExecuted"),"count"))</f>
        <v/>
      </c>
    </row>
    <row r="137" spans="4:19" x14ac:dyDescent="0.25">
      <c r="D137" t="str">
        <f>IF(C137="","",VLOOKUP(A137,Projects!A:B,2,FALSE))</f>
        <v/>
      </c>
      <c r="E137" s="1" t="str">
        <f t="shared" si="20"/>
        <v/>
      </c>
      <c r="F137" t="str">
        <f t="shared" si="21"/>
        <v/>
      </c>
      <c r="G137" t="str">
        <f>IF(C137="","",ProcessUrl(E137,F137))</f>
        <v/>
      </c>
      <c r="H137" t="str">
        <f t="shared" si="22"/>
        <v/>
      </c>
      <c r="I137" t="str">
        <f t="shared" si="23"/>
        <v/>
      </c>
      <c r="J137" t="str">
        <f>IF(C137="","",ProcessUrl(H137,I137))</f>
        <v/>
      </c>
      <c r="K137" s="7" t="str">
        <f t="shared" si="24"/>
        <v/>
      </c>
      <c r="L137" s="7" t="str">
        <f t="shared" si="25"/>
        <v/>
      </c>
      <c r="M137" s="7" t="str">
        <f t="shared" si="26"/>
        <v/>
      </c>
      <c r="N137" s="7" t="str">
        <f t="shared" si="27"/>
        <v/>
      </c>
      <c r="O137" s="7" t="str">
        <f t="shared" si="28"/>
        <v/>
      </c>
      <c r="P137" t="str">
        <f t="shared" si="29"/>
        <v/>
      </c>
      <c r="Q137" t="str">
        <f>IF(C137="","",ProcessUrl(P137,"GetTestResults"))</f>
        <v/>
      </c>
      <c r="R137" s="10" t="str">
        <f>IF(C137="","",JsProcess("JsonItem",JsProcess("JsonItem",Q137,"Passed"),"count"))</f>
        <v/>
      </c>
      <c r="S137" s="10" t="str">
        <f>IF(C137="","",JsProcess("JsonItem",JsProcess("JsonItem",Q137,"NotExecuted"),"count"))</f>
        <v/>
      </c>
    </row>
    <row r="138" spans="4:19" x14ac:dyDescent="0.25">
      <c r="D138" t="str">
        <f>IF(C138="","",VLOOKUP(A138,Projects!A:B,2,FALSE))</f>
        <v/>
      </c>
      <c r="E138" s="1" t="str">
        <f t="shared" si="20"/>
        <v/>
      </c>
      <c r="F138" t="str">
        <f t="shared" si="21"/>
        <v/>
      </c>
      <c r="G138" t="str">
        <f>IF(C138="","",ProcessUrl(E138,F138))</f>
        <v/>
      </c>
      <c r="H138" t="str">
        <f t="shared" si="22"/>
        <v/>
      </c>
      <c r="I138" t="str">
        <f t="shared" si="23"/>
        <v/>
      </c>
      <c r="J138" t="str">
        <f>IF(C138="","",ProcessUrl(H138,I138))</f>
        <v/>
      </c>
      <c r="K138" s="7" t="str">
        <f t="shared" si="24"/>
        <v/>
      </c>
      <c r="L138" s="7" t="str">
        <f t="shared" si="25"/>
        <v/>
      </c>
      <c r="M138" s="7" t="str">
        <f t="shared" si="26"/>
        <v/>
      </c>
      <c r="N138" s="7" t="str">
        <f t="shared" si="27"/>
        <v/>
      </c>
      <c r="O138" s="7" t="str">
        <f t="shared" si="28"/>
        <v/>
      </c>
      <c r="P138" t="str">
        <f t="shared" si="29"/>
        <v/>
      </c>
      <c r="Q138" t="str">
        <f>IF(C138="","",ProcessUrl(P138,"GetTestResults"))</f>
        <v/>
      </c>
      <c r="R138" s="10" t="str">
        <f>IF(C138="","",JsProcess("JsonItem",JsProcess("JsonItem",Q138,"Passed"),"count"))</f>
        <v/>
      </c>
      <c r="S138" s="10" t="str">
        <f>IF(C138="","",JsProcess("JsonItem",JsProcess("JsonItem",Q138,"NotExecuted"),"count"))</f>
        <v/>
      </c>
    </row>
    <row r="139" spans="4:19" x14ac:dyDescent="0.25">
      <c r="D139" t="str">
        <f>IF(C139="","",VLOOKUP(A139,Projects!A:B,2,FALSE))</f>
        <v/>
      </c>
      <c r="E139" s="1" t="str">
        <f t="shared" si="20"/>
        <v/>
      </c>
      <c r="F139" t="str">
        <f t="shared" si="21"/>
        <v/>
      </c>
      <c r="G139" t="str">
        <f>IF(C139="","",ProcessUrl(E139,F139))</f>
        <v/>
      </c>
      <c r="H139" t="str">
        <f t="shared" si="22"/>
        <v/>
      </c>
      <c r="I139" t="str">
        <f t="shared" si="23"/>
        <v/>
      </c>
      <c r="J139" t="str">
        <f>IF(C139="","",ProcessUrl(H139,I139))</f>
        <v/>
      </c>
      <c r="K139" s="7" t="str">
        <f t="shared" si="24"/>
        <v/>
      </c>
      <c r="L139" s="7" t="str">
        <f t="shared" si="25"/>
        <v/>
      </c>
      <c r="M139" s="7" t="str">
        <f t="shared" si="26"/>
        <v/>
      </c>
      <c r="N139" s="7" t="str">
        <f t="shared" si="27"/>
        <v/>
      </c>
      <c r="O139" s="7" t="str">
        <f t="shared" si="28"/>
        <v/>
      </c>
      <c r="P139" t="str">
        <f t="shared" si="29"/>
        <v/>
      </c>
      <c r="Q139" t="str">
        <f>IF(C139="","",ProcessUrl(P139,"GetTestResults"))</f>
        <v/>
      </c>
      <c r="R139" s="10" t="str">
        <f>IF(C139="","",JsProcess("JsonItem",JsProcess("JsonItem",Q139,"Passed"),"count"))</f>
        <v/>
      </c>
      <c r="S139" s="10" t="str">
        <f>IF(C139="","",JsProcess("JsonItem",JsProcess("JsonItem",Q139,"NotExecuted"),"count"))</f>
        <v/>
      </c>
    </row>
    <row r="140" spans="4:19" x14ac:dyDescent="0.25">
      <c r="D140" t="str">
        <f>IF(C140="","",VLOOKUP(A140,Projects!A:B,2,FALSE))</f>
        <v/>
      </c>
      <c r="E140" s="1" t="str">
        <f t="shared" si="20"/>
        <v/>
      </c>
      <c r="F140" t="str">
        <f t="shared" si="21"/>
        <v/>
      </c>
      <c r="G140" t="str">
        <f>IF(C140="","",ProcessUrl(E140,F140))</f>
        <v/>
      </c>
      <c r="H140" t="str">
        <f t="shared" si="22"/>
        <v/>
      </c>
      <c r="I140" t="str">
        <f t="shared" si="23"/>
        <v/>
      </c>
      <c r="J140" t="str">
        <f>IF(C140="","",ProcessUrl(H140,I140))</f>
        <v/>
      </c>
      <c r="K140" s="7" t="str">
        <f t="shared" si="24"/>
        <v/>
      </c>
      <c r="L140" s="7" t="str">
        <f t="shared" si="25"/>
        <v/>
      </c>
      <c r="M140" s="7" t="str">
        <f t="shared" si="26"/>
        <v/>
      </c>
      <c r="N140" s="7" t="str">
        <f t="shared" si="27"/>
        <v/>
      </c>
      <c r="O140" s="7" t="str">
        <f t="shared" si="28"/>
        <v/>
      </c>
      <c r="P140" t="str">
        <f t="shared" si="29"/>
        <v/>
      </c>
      <c r="Q140" t="str">
        <f>IF(C140="","",ProcessUrl(P140,"GetTestResults"))</f>
        <v/>
      </c>
      <c r="R140" s="10" t="str">
        <f>IF(C140="","",JsProcess("JsonItem",JsProcess("JsonItem",Q140,"Passed"),"count"))</f>
        <v/>
      </c>
      <c r="S140" s="10" t="str">
        <f>IF(C140="","",JsProcess("JsonItem",JsProcess("JsonItem",Q140,"NotExecuted"),"count"))</f>
        <v/>
      </c>
    </row>
    <row r="141" spans="4:19" x14ac:dyDescent="0.25">
      <c r="D141" t="str">
        <f>IF(C141="","",VLOOKUP(A141,Projects!A:B,2,FALSE))</f>
        <v/>
      </c>
      <c r="E141" s="1" t="str">
        <f t="shared" si="20"/>
        <v/>
      </c>
      <c r="F141" t="str">
        <f t="shared" si="21"/>
        <v/>
      </c>
      <c r="G141" t="str">
        <f>IF(C141="","",ProcessUrl(E141,F141))</f>
        <v/>
      </c>
      <c r="H141" t="str">
        <f t="shared" si="22"/>
        <v/>
      </c>
      <c r="I141" t="str">
        <f t="shared" si="23"/>
        <v/>
      </c>
      <c r="J141" t="str">
        <f>IF(C141="","",ProcessUrl(H141,I141))</f>
        <v/>
      </c>
      <c r="K141" s="7" t="str">
        <f t="shared" si="24"/>
        <v/>
      </c>
      <c r="L141" s="7" t="str">
        <f t="shared" si="25"/>
        <v/>
      </c>
      <c r="M141" s="7" t="str">
        <f t="shared" si="26"/>
        <v/>
      </c>
      <c r="N141" s="7" t="str">
        <f t="shared" si="27"/>
        <v/>
      </c>
      <c r="O141" s="7" t="str">
        <f t="shared" si="28"/>
        <v/>
      </c>
      <c r="P141" t="str">
        <f t="shared" si="29"/>
        <v/>
      </c>
      <c r="Q141" t="str">
        <f>IF(C141="","",ProcessUrl(P141,"GetTestResults"))</f>
        <v/>
      </c>
      <c r="R141" s="10" t="str">
        <f>IF(C141="","",JsProcess("JsonItem",JsProcess("JsonItem",Q141,"Passed"),"count"))</f>
        <v/>
      </c>
      <c r="S141" s="10" t="str">
        <f>IF(C141="","",JsProcess("JsonItem",JsProcess("JsonItem",Q141,"NotExecuted"),"count"))</f>
        <v/>
      </c>
    </row>
    <row r="142" spans="4:19" x14ac:dyDescent="0.25">
      <c r="D142" t="str">
        <f>IF(C142="","",VLOOKUP(A142,Projects!A:B,2,FALSE))</f>
        <v/>
      </c>
      <c r="E142" s="1" t="str">
        <f t="shared" si="20"/>
        <v/>
      </c>
      <c r="F142" t="str">
        <f t="shared" si="21"/>
        <v/>
      </c>
      <c r="G142" t="str">
        <f>IF(C142="","",ProcessUrl(E142,F142))</f>
        <v/>
      </c>
      <c r="H142" t="str">
        <f t="shared" si="22"/>
        <v/>
      </c>
      <c r="I142" t="str">
        <f t="shared" si="23"/>
        <v/>
      </c>
      <c r="J142" t="str">
        <f>IF(C142="","",ProcessUrl(H142,I142))</f>
        <v/>
      </c>
      <c r="K142" s="7" t="str">
        <f t="shared" si="24"/>
        <v/>
      </c>
      <c r="L142" s="7" t="str">
        <f t="shared" si="25"/>
        <v/>
      </c>
      <c r="M142" s="7" t="str">
        <f t="shared" si="26"/>
        <v/>
      </c>
      <c r="N142" s="7" t="str">
        <f t="shared" si="27"/>
        <v/>
      </c>
      <c r="O142" s="7" t="str">
        <f t="shared" si="28"/>
        <v/>
      </c>
      <c r="P142" t="str">
        <f t="shared" si="29"/>
        <v/>
      </c>
      <c r="Q142" t="str">
        <f>IF(C142="","",ProcessUrl(P142,"GetTestResults"))</f>
        <v/>
      </c>
      <c r="R142" s="10" t="str">
        <f>IF(C142="","",JsProcess("JsonItem",JsProcess("JsonItem",Q142,"Passed"),"count"))</f>
        <v/>
      </c>
      <c r="S142" s="10" t="str">
        <f>IF(C142="","",JsProcess("JsonItem",JsProcess("JsonItem",Q142,"NotExecuted"),"count"))</f>
        <v/>
      </c>
    </row>
    <row r="143" spans="4:19" x14ac:dyDescent="0.25">
      <c r="D143" t="str">
        <f>IF(C143="","",VLOOKUP(A143,Projects!A:B,2,FALSE))</f>
        <v/>
      </c>
      <c r="E143" s="1" t="str">
        <f t="shared" si="20"/>
        <v/>
      </c>
      <c r="F143" t="str">
        <f t="shared" si="21"/>
        <v/>
      </c>
      <c r="G143" t="str">
        <f>IF(C143="","",ProcessUrl(E143,F143))</f>
        <v/>
      </c>
      <c r="H143" t="str">
        <f t="shared" si="22"/>
        <v/>
      </c>
      <c r="I143" t="str">
        <f t="shared" si="23"/>
        <v/>
      </c>
      <c r="J143" t="str">
        <f>IF(C143="","",ProcessUrl(H143,I143))</f>
        <v/>
      </c>
      <c r="K143" s="7" t="str">
        <f t="shared" si="24"/>
        <v/>
      </c>
      <c r="L143" s="7" t="str">
        <f t="shared" si="25"/>
        <v/>
      </c>
      <c r="M143" s="7" t="str">
        <f t="shared" si="26"/>
        <v/>
      </c>
      <c r="N143" s="7" t="str">
        <f t="shared" si="27"/>
        <v/>
      </c>
      <c r="O143" s="7" t="str">
        <f t="shared" si="28"/>
        <v/>
      </c>
      <c r="P143" t="str">
        <f t="shared" si="29"/>
        <v/>
      </c>
      <c r="Q143" t="str">
        <f>IF(C143="","",ProcessUrl(P143,"GetTestResults"))</f>
        <v/>
      </c>
      <c r="R143" s="10" t="str">
        <f>IF(C143="","",JsProcess("JsonItem",JsProcess("JsonItem",Q143,"Passed"),"count"))</f>
        <v/>
      </c>
      <c r="S143" s="10" t="str">
        <f>IF(C143="","",JsProcess("JsonItem",JsProcess("JsonItem",Q143,"NotExecuted"),"count"))</f>
        <v/>
      </c>
    </row>
    <row r="144" spans="4:19" x14ac:dyDescent="0.25">
      <c r="D144" t="str">
        <f>IF(C144="","",VLOOKUP(A144,Projects!A:B,2,FALSE))</f>
        <v/>
      </c>
      <c r="E144" s="1" t="str">
        <f t="shared" si="20"/>
        <v/>
      </c>
      <c r="F144" t="str">
        <f t="shared" si="21"/>
        <v/>
      </c>
      <c r="G144" t="str">
        <f>IF(C144="","",ProcessUrl(E144,F144))</f>
        <v/>
      </c>
      <c r="H144" t="str">
        <f t="shared" si="22"/>
        <v/>
      </c>
      <c r="I144" t="str">
        <f t="shared" si="23"/>
        <v/>
      </c>
      <c r="J144" t="str">
        <f>IF(C144="","",ProcessUrl(H144,I144))</f>
        <v/>
      </c>
      <c r="K144" s="7" t="str">
        <f t="shared" si="24"/>
        <v/>
      </c>
      <c r="L144" s="7" t="str">
        <f t="shared" si="25"/>
        <v/>
      </c>
      <c r="M144" s="7" t="str">
        <f t="shared" si="26"/>
        <v/>
      </c>
      <c r="N144" s="7" t="str">
        <f t="shared" si="27"/>
        <v/>
      </c>
      <c r="O144" s="7" t="str">
        <f t="shared" si="28"/>
        <v/>
      </c>
      <c r="P144" t="str">
        <f t="shared" si="29"/>
        <v/>
      </c>
      <c r="Q144" t="str">
        <f>IF(C144="","",ProcessUrl(P144,"GetTestResults"))</f>
        <v/>
      </c>
      <c r="R144" s="10" t="str">
        <f>IF(C144="","",JsProcess("JsonItem",JsProcess("JsonItem",Q144,"Passed"),"count"))</f>
        <v/>
      </c>
      <c r="S144" s="10" t="str">
        <f>IF(C144="","",JsProcess("JsonItem",JsProcess("JsonItem",Q144,"NotExecuted"),"count"))</f>
        <v/>
      </c>
    </row>
    <row r="145" spans="4:19" x14ac:dyDescent="0.25">
      <c r="D145" t="str">
        <f>IF(C145="","",VLOOKUP(A145,Projects!A:B,2,FALSE))</f>
        <v/>
      </c>
      <c r="E145" s="1" t="str">
        <f t="shared" si="20"/>
        <v/>
      </c>
      <c r="F145" t="str">
        <f t="shared" si="21"/>
        <v/>
      </c>
      <c r="G145" t="str">
        <f>IF(C145="","",ProcessUrl(E145,F145))</f>
        <v/>
      </c>
      <c r="H145" t="str">
        <f t="shared" si="22"/>
        <v/>
      </c>
      <c r="I145" t="str">
        <f t="shared" si="23"/>
        <v/>
      </c>
      <c r="J145" t="str">
        <f>IF(C145="","",ProcessUrl(H145,I145))</f>
        <v/>
      </c>
      <c r="K145" s="7" t="str">
        <f t="shared" si="24"/>
        <v/>
      </c>
      <c r="L145" s="7" t="str">
        <f t="shared" si="25"/>
        <v/>
      </c>
      <c r="M145" s="7" t="str">
        <f t="shared" si="26"/>
        <v/>
      </c>
      <c r="N145" s="7" t="str">
        <f t="shared" si="27"/>
        <v/>
      </c>
      <c r="O145" s="7" t="str">
        <f t="shared" si="28"/>
        <v/>
      </c>
      <c r="P145" t="str">
        <f t="shared" si="29"/>
        <v/>
      </c>
      <c r="Q145" t="str">
        <f>IF(C145="","",ProcessUrl(P145,"GetTestResults"))</f>
        <v/>
      </c>
      <c r="R145" s="10" t="str">
        <f>IF(C145="","",JsProcess("JsonItem",JsProcess("JsonItem",Q145,"Passed"),"count"))</f>
        <v/>
      </c>
      <c r="S145" s="10" t="str">
        <f>IF(C145="","",JsProcess("JsonItem",JsProcess("JsonItem",Q145,"NotExecuted"),"count"))</f>
        <v/>
      </c>
    </row>
    <row r="146" spans="4:19" x14ac:dyDescent="0.25">
      <c r="D146" t="str">
        <f>IF(C146="","",VLOOKUP(A146,Projects!A:B,2,FALSE))</f>
        <v/>
      </c>
      <c r="E146" s="1" t="str">
        <f t="shared" si="20"/>
        <v/>
      </c>
      <c r="F146" t="str">
        <f t="shared" si="21"/>
        <v/>
      </c>
      <c r="G146" t="str">
        <f>IF(C146="","",ProcessUrl(E146,F146))</f>
        <v/>
      </c>
      <c r="H146" t="str">
        <f t="shared" si="22"/>
        <v/>
      </c>
      <c r="I146" t="str">
        <f t="shared" si="23"/>
        <v/>
      </c>
      <c r="J146" t="str">
        <f>IF(C146="","",ProcessUrl(H146,I146))</f>
        <v/>
      </c>
      <c r="K146" s="7" t="str">
        <f t="shared" si="24"/>
        <v/>
      </c>
      <c r="L146" s="7" t="str">
        <f t="shared" si="25"/>
        <v/>
      </c>
      <c r="M146" s="7" t="str">
        <f t="shared" si="26"/>
        <v/>
      </c>
      <c r="N146" s="7" t="str">
        <f t="shared" si="27"/>
        <v/>
      </c>
      <c r="O146" s="7" t="str">
        <f t="shared" si="28"/>
        <v/>
      </c>
      <c r="P146" t="str">
        <f t="shared" si="29"/>
        <v/>
      </c>
      <c r="Q146" t="str">
        <f>IF(C146="","",ProcessUrl(P146,"GetTestResults"))</f>
        <v/>
      </c>
      <c r="R146" s="10" t="str">
        <f>IF(C146="","",JsProcess("JsonItem",JsProcess("JsonItem",Q146,"Passed"),"count"))</f>
        <v/>
      </c>
      <c r="S146" s="10" t="str">
        <f>IF(C146="","",JsProcess("JsonItem",JsProcess("JsonItem",Q146,"NotExecuted"),"count"))</f>
        <v/>
      </c>
    </row>
    <row r="147" spans="4:19" x14ac:dyDescent="0.25">
      <c r="D147" t="str">
        <f>IF(C147="","",VLOOKUP(A147,Projects!A:B,2,FALSE))</f>
        <v/>
      </c>
      <c r="E147" s="1" t="str">
        <f t="shared" si="20"/>
        <v/>
      </c>
      <c r="F147" t="str">
        <f t="shared" si="21"/>
        <v/>
      </c>
      <c r="G147" t="str">
        <f>IF(C147="","",ProcessUrl(E147,F147))</f>
        <v/>
      </c>
      <c r="H147" t="str">
        <f t="shared" si="22"/>
        <v/>
      </c>
      <c r="I147" t="str">
        <f t="shared" si="23"/>
        <v/>
      </c>
      <c r="J147" t="str">
        <f>IF(C147="","",ProcessUrl(H147,I147))</f>
        <v/>
      </c>
      <c r="K147" s="7" t="str">
        <f t="shared" si="24"/>
        <v/>
      </c>
      <c r="L147" s="7" t="str">
        <f t="shared" si="25"/>
        <v/>
      </c>
      <c r="M147" s="7" t="str">
        <f t="shared" si="26"/>
        <v/>
      </c>
      <c r="N147" s="7" t="str">
        <f t="shared" si="27"/>
        <v/>
      </c>
      <c r="O147" s="7" t="str">
        <f t="shared" si="28"/>
        <v/>
      </c>
      <c r="P147" t="str">
        <f t="shared" si="29"/>
        <v/>
      </c>
      <c r="Q147" t="str">
        <f>IF(C147="","",ProcessUrl(P147,"GetTestResults"))</f>
        <v/>
      </c>
      <c r="R147" s="10" t="str">
        <f>IF(C147="","",JsProcess("JsonItem",JsProcess("JsonItem",Q147,"Passed"),"count"))</f>
        <v/>
      </c>
      <c r="S147" s="10" t="str">
        <f>IF(C147="","",JsProcess("JsonItem",JsProcess("JsonItem",Q147,"NotExecuted"),"count"))</f>
        <v/>
      </c>
    </row>
    <row r="148" spans="4:19" x14ac:dyDescent="0.25">
      <c r="D148" t="str">
        <f>IF(C148="","",VLOOKUP(A148,Projects!A:B,2,FALSE))</f>
        <v/>
      </c>
      <c r="E148" s="1" t="str">
        <f t="shared" si="20"/>
        <v/>
      </c>
      <c r="F148" t="str">
        <f t="shared" si="21"/>
        <v/>
      </c>
      <c r="G148" t="str">
        <f>IF(C148="","",ProcessUrl(E148,F148))</f>
        <v/>
      </c>
      <c r="H148" t="str">
        <f t="shared" si="22"/>
        <v/>
      </c>
      <c r="I148" t="str">
        <f t="shared" si="23"/>
        <v/>
      </c>
      <c r="J148" t="str">
        <f>IF(C148="","",ProcessUrl(H148,I148))</f>
        <v/>
      </c>
      <c r="K148" s="7" t="str">
        <f t="shared" si="24"/>
        <v/>
      </c>
      <c r="L148" s="7" t="str">
        <f t="shared" si="25"/>
        <v/>
      </c>
      <c r="M148" s="7" t="str">
        <f t="shared" si="26"/>
        <v/>
      </c>
      <c r="N148" s="7" t="str">
        <f t="shared" si="27"/>
        <v/>
      </c>
      <c r="O148" s="7" t="str">
        <f t="shared" si="28"/>
        <v/>
      </c>
      <c r="P148" t="str">
        <f t="shared" si="29"/>
        <v/>
      </c>
      <c r="Q148" t="str">
        <f>IF(C148="","",ProcessUrl(P148,"GetTestResults"))</f>
        <v/>
      </c>
      <c r="R148" s="10" t="str">
        <f>IF(C148="","",JsProcess("JsonItem",JsProcess("JsonItem",Q148,"Passed"),"count"))</f>
        <v/>
      </c>
      <c r="S148" s="10" t="str">
        <f>IF(C148="","",JsProcess("JsonItem",JsProcess("JsonItem",Q148,"NotExecuted"),"count"))</f>
        <v/>
      </c>
    </row>
    <row r="149" spans="4:19" x14ac:dyDescent="0.25">
      <c r="D149" t="str">
        <f>IF(C149="","",VLOOKUP(A149,Projects!A:B,2,FALSE))</f>
        <v/>
      </c>
      <c r="E149" s="1" t="str">
        <f t="shared" si="20"/>
        <v/>
      </c>
      <c r="F149" t="str">
        <f t="shared" si="21"/>
        <v/>
      </c>
      <c r="G149" t="str">
        <f>IF(C149="","",ProcessUrl(E149,F149))</f>
        <v/>
      </c>
      <c r="H149" t="str">
        <f t="shared" si="22"/>
        <v/>
      </c>
      <c r="I149" t="str">
        <f t="shared" si="23"/>
        <v/>
      </c>
      <c r="J149" t="str">
        <f>IF(C149="","",ProcessUrl(H149,I149))</f>
        <v/>
      </c>
      <c r="K149" s="7" t="str">
        <f t="shared" si="24"/>
        <v/>
      </c>
      <c r="L149" s="7" t="str">
        <f t="shared" si="25"/>
        <v/>
      </c>
      <c r="M149" s="7" t="str">
        <f t="shared" si="26"/>
        <v/>
      </c>
      <c r="N149" s="7" t="str">
        <f t="shared" si="27"/>
        <v/>
      </c>
      <c r="O149" s="7" t="str">
        <f t="shared" si="28"/>
        <v/>
      </c>
      <c r="P149" t="str">
        <f t="shared" si="29"/>
        <v/>
      </c>
      <c r="Q149" t="str">
        <f>IF(C149="","",ProcessUrl(P149,"GetTestResults"))</f>
        <v/>
      </c>
      <c r="R149" s="10" t="str">
        <f>IF(C149="","",JsProcess("JsonItem",JsProcess("JsonItem",Q149,"Passed"),"count"))</f>
        <v/>
      </c>
      <c r="S149" s="10" t="str">
        <f>IF(C149="","",JsProcess("JsonItem",JsProcess("JsonItem",Q149,"NotExecuted"),"count"))</f>
        <v/>
      </c>
    </row>
    <row r="150" spans="4:19" x14ac:dyDescent="0.25">
      <c r="D150" t="str">
        <f>IF(C150="","",VLOOKUP(A150,Projects!A:B,2,FALSE))</f>
        <v/>
      </c>
      <c r="E150" s="1" t="str">
        <f t="shared" si="20"/>
        <v/>
      </c>
      <c r="F150" t="str">
        <f t="shared" si="21"/>
        <v/>
      </c>
      <c r="G150" t="str">
        <f>IF(C150="","",ProcessUrl(E150,F150))</f>
        <v/>
      </c>
      <c r="H150" t="str">
        <f t="shared" si="22"/>
        <v/>
      </c>
      <c r="I150" t="str">
        <f t="shared" si="23"/>
        <v/>
      </c>
      <c r="J150" t="str">
        <f>IF(C150="","",ProcessUrl(H150,I150))</f>
        <v/>
      </c>
      <c r="K150" s="7" t="str">
        <f t="shared" si="24"/>
        <v/>
      </c>
      <c r="L150" s="7" t="str">
        <f t="shared" si="25"/>
        <v/>
      </c>
      <c r="M150" s="7" t="str">
        <f t="shared" si="26"/>
        <v/>
      </c>
      <c r="N150" s="7" t="str">
        <f t="shared" si="27"/>
        <v/>
      </c>
      <c r="O150" s="7" t="str">
        <f t="shared" si="28"/>
        <v/>
      </c>
      <c r="P150" t="str">
        <f t="shared" si="29"/>
        <v/>
      </c>
      <c r="Q150" t="str">
        <f>IF(C150="","",ProcessUrl(P150,"GetTestResults"))</f>
        <v/>
      </c>
      <c r="R150" s="10" t="str">
        <f>IF(C150="","",JsProcess("JsonItem",JsProcess("JsonItem",Q150,"Passed"),"count"))</f>
        <v/>
      </c>
      <c r="S150" s="10" t="str">
        <f>IF(C150="","",JsProcess("JsonItem",JsProcess("JsonItem",Q150,"NotExecuted"),"count"))</f>
        <v/>
      </c>
    </row>
    <row r="151" spans="4:19" x14ac:dyDescent="0.25">
      <c r="D151" t="str">
        <f>IF(C151="","",VLOOKUP(A151,Projects!A:B,2,FALSE))</f>
        <v/>
      </c>
      <c r="E151" s="1" t="str">
        <f t="shared" si="20"/>
        <v/>
      </c>
      <c r="F151" t="str">
        <f t="shared" si="21"/>
        <v/>
      </c>
      <c r="G151" t="str">
        <f>IF(C151="","",ProcessUrl(E151,F151))</f>
        <v/>
      </c>
      <c r="H151" t="str">
        <f t="shared" si="22"/>
        <v/>
      </c>
      <c r="I151" t="str">
        <f t="shared" si="23"/>
        <v/>
      </c>
      <c r="J151" t="str">
        <f>IF(C151="","",ProcessUrl(H151,I151))</f>
        <v/>
      </c>
      <c r="K151" s="7" t="str">
        <f t="shared" si="24"/>
        <v/>
      </c>
      <c r="L151" s="7" t="str">
        <f t="shared" si="25"/>
        <v/>
      </c>
      <c r="M151" s="7" t="str">
        <f t="shared" si="26"/>
        <v/>
      </c>
      <c r="N151" s="7" t="str">
        <f t="shared" si="27"/>
        <v/>
      </c>
      <c r="O151" s="7" t="str">
        <f t="shared" si="28"/>
        <v/>
      </c>
      <c r="P151" t="str">
        <f t="shared" si="29"/>
        <v/>
      </c>
      <c r="Q151" t="str">
        <f>IF(C151="","",ProcessUrl(P151,"GetTestResults"))</f>
        <v/>
      </c>
      <c r="R151" s="10" t="str">
        <f>IF(C151="","",JsProcess("JsonItem",JsProcess("JsonItem",Q151,"Passed"),"count"))</f>
        <v/>
      </c>
      <c r="S151" s="10" t="str">
        <f>IF(C151="","",JsProcess("JsonItem",JsProcess("JsonItem",Q151,"NotExecuted"),"count"))</f>
        <v/>
      </c>
    </row>
    <row r="152" spans="4:19" x14ac:dyDescent="0.25">
      <c r="D152" t="str">
        <f>IF(C152="","",VLOOKUP(A152,Projects!A:B,2,FALSE))</f>
        <v/>
      </c>
      <c r="E152" s="1" t="str">
        <f t="shared" si="20"/>
        <v/>
      </c>
      <c r="F152" t="str">
        <f t="shared" si="21"/>
        <v/>
      </c>
      <c r="G152" t="str">
        <f>IF(C152="","",ProcessUrl(E152,F152))</f>
        <v/>
      </c>
      <c r="H152" t="str">
        <f t="shared" si="22"/>
        <v/>
      </c>
      <c r="I152" t="str">
        <f t="shared" si="23"/>
        <v/>
      </c>
      <c r="J152" t="str">
        <f>IF(C152="","",ProcessUrl(H152,I152))</f>
        <v/>
      </c>
      <c r="K152" s="7" t="str">
        <f t="shared" si="24"/>
        <v/>
      </c>
      <c r="L152" s="7" t="str">
        <f t="shared" si="25"/>
        <v/>
      </c>
      <c r="M152" s="7" t="str">
        <f t="shared" si="26"/>
        <v/>
      </c>
      <c r="N152" s="7" t="str">
        <f t="shared" si="27"/>
        <v/>
      </c>
      <c r="O152" s="7" t="str">
        <f t="shared" si="28"/>
        <v/>
      </c>
      <c r="P152" t="str">
        <f t="shared" si="29"/>
        <v/>
      </c>
      <c r="Q152" t="str">
        <f>IF(C152="","",ProcessUrl(P152,"GetTestResults"))</f>
        <v/>
      </c>
      <c r="R152" s="10" t="str">
        <f>IF(C152="","",JsProcess("JsonItem",JsProcess("JsonItem",Q152,"Passed"),"count"))</f>
        <v/>
      </c>
      <c r="S152" s="10" t="str">
        <f>IF(C152="","",JsProcess("JsonItem",JsProcess("JsonItem",Q152,"NotExecuted"),"count"))</f>
        <v/>
      </c>
    </row>
    <row r="153" spans="4:19" x14ac:dyDescent="0.25">
      <c r="D153" t="str">
        <f>IF(C153="","",VLOOKUP(A153,Projects!A:B,2,FALSE))</f>
        <v/>
      </c>
      <c r="E153" s="1" t="str">
        <f t="shared" si="20"/>
        <v/>
      </c>
      <c r="F153" t="str">
        <f t="shared" si="21"/>
        <v/>
      </c>
      <c r="G153" t="str">
        <f>IF(C153="","",ProcessUrl(E153,F153))</f>
        <v/>
      </c>
      <c r="H153" t="str">
        <f t="shared" si="22"/>
        <v/>
      </c>
      <c r="I153" t="str">
        <f t="shared" si="23"/>
        <v/>
      </c>
      <c r="J153" t="str">
        <f>IF(C153="","",ProcessUrl(H153,I153))</f>
        <v/>
      </c>
      <c r="K153" s="7" t="str">
        <f t="shared" si="24"/>
        <v/>
      </c>
      <c r="L153" s="7" t="str">
        <f t="shared" si="25"/>
        <v/>
      </c>
      <c r="M153" s="7" t="str">
        <f t="shared" si="26"/>
        <v/>
      </c>
      <c r="N153" s="7" t="str">
        <f t="shared" si="27"/>
        <v/>
      </c>
      <c r="O153" s="7" t="str">
        <f t="shared" si="28"/>
        <v/>
      </c>
      <c r="P153" t="str">
        <f t="shared" si="29"/>
        <v/>
      </c>
      <c r="Q153" t="str">
        <f>IF(C153="","",ProcessUrl(P153,"GetTestResults"))</f>
        <v/>
      </c>
      <c r="R153" s="10" t="str">
        <f>IF(C153="","",JsProcess("JsonItem",JsProcess("JsonItem",Q153,"Passed"),"count"))</f>
        <v/>
      </c>
      <c r="S153" s="10" t="str">
        <f>IF(C153="","",JsProcess("JsonItem",JsProcess("JsonItem",Q153,"NotExecuted"),"count"))</f>
        <v/>
      </c>
    </row>
    <row r="154" spans="4:19" x14ac:dyDescent="0.25">
      <c r="D154" t="str">
        <f>IF(C154="","",VLOOKUP(A154,Projects!A:B,2,FALSE))</f>
        <v/>
      </c>
      <c r="E154" s="1" t="str">
        <f t="shared" si="20"/>
        <v/>
      </c>
      <c r="F154" t="str">
        <f t="shared" si="21"/>
        <v/>
      </c>
      <c r="G154" t="str">
        <f>IF(C154="","",ProcessUrl(E154,F154))</f>
        <v/>
      </c>
      <c r="H154" t="str">
        <f t="shared" si="22"/>
        <v/>
      </c>
      <c r="I154" t="str">
        <f t="shared" si="23"/>
        <v/>
      </c>
      <c r="J154" t="str">
        <f>IF(C154="","",ProcessUrl(H154,I154))</f>
        <v/>
      </c>
      <c r="K154" s="7" t="str">
        <f t="shared" si="24"/>
        <v/>
      </c>
      <c r="L154" s="7" t="str">
        <f t="shared" si="25"/>
        <v/>
      </c>
      <c r="M154" s="7" t="str">
        <f t="shared" si="26"/>
        <v/>
      </c>
      <c r="N154" s="7" t="str">
        <f t="shared" si="27"/>
        <v/>
      </c>
      <c r="O154" s="7" t="str">
        <f t="shared" si="28"/>
        <v/>
      </c>
      <c r="P154" t="str">
        <f t="shared" si="29"/>
        <v/>
      </c>
      <c r="Q154" t="str">
        <f>IF(C154="","",ProcessUrl(P154,"GetTestResults"))</f>
        <v/>
      </c>
      <c r="R154" s="10" t="str">
        <f>IF(C154="","",JsProcess("JsonItem",JsProcess("JsonItem",Q154,"Passed"),"count"))</f>
        <v/>
      </c>
      <c r="S154" s="10" t="str">
        <f>IF(C154="","",JsProcess("JsonItem",JsProcess("JsonItem",Q154,"NotExecuted"),"count"))</f>
        <v/>
      </c>
    </row>
    <row r="155" spans="4:19" x14ac:dyDescent="0.25">
      <c r="D155" t="str">
        <f>IF(C155="","",VLOOKUP(A155,Projects!A:B,2,FALSE))</f>
        <v/>
      </c>
      <c r="E155" s="1" t="str">
        <f t="shared" si="20"/>
        <v/>
      </c>
      <c r="F155" t="str">
        <f t="shared" si="21"/>
        <v/>
      </c>
      <c r="G155" t="str">
        <f>IF(C155="","",ProcessUrl(E155,F155))</f>
        <v/>
      </c>
      <c r="H155" t="str">
        <f t="shared" si="22"/>
        <v/>
      </c>
      <c r="I155" t="str">
        <f t="shared" si="23"/>
        <v/>
      </c>
      <c r="J155" t="str">
        <f>IF(C155="","",ProcessUrl(H155,I155))</f>
        <v/>
      </c>
      <c r="K155" s="7" t="str">
        <f t="shared" si="24"/>
        <v/>
      </c>
      <c r="L155" s="7" t="str">
        <f t="shared" si="25"/>
        <v/>
      </c>
      <c r="M155" s="7" t="str">
        <f t="shared" si="26"/>
        <v/>
      </c>
      <c r="N155" s="7" t="str">
        <f t="shared" si="27"/>
        <v/>
      </c>
      <c r="O155" s="7" t="str">
        <f t="shared" si="28"/>
        <v/>
      </c>
      <c r="P155" t="str">
        <f t="shared" si="29"/>
        <v/>
      </c>
      <c r="Q155" t="str">
        <f>IF(C155="","",ProcessUrl(P155,"GetTestResults"))</f>
        <v/>
      </c>
      <c r="R155" s="10" t="str">
        <f>IF(C155="","",JsProcess("JsonItem",JsProcess("JsonItem",Q155,"Passed"),"count"))</f>
        <v/>
      </c>
      <c r="S155" s="10" t="str">
        <f>IF(C155="","",JsProcess("JsonItem",JsProcess("JsonItem",Q155,"NotExecuted"),"count"))</f>
        <v/>
      </c>
    </row>
    <row r="156" spans="4:19" x14ac:dyDescent="0.25">
      <c r="D156" t="str">
        <f>IF(C156="","",VLOOKUP(A156,Projects!A:B,2,FALSE))</f>
        <v/>
      </c>
      <c r="E156" s="1" t="str">
        <f t="shared" si="20"/>
        <v/>
      </c>
      <c r="F156" t="str">
        <f t="shared" si="21"/>
        <v/>
      </c>
      <c r="G156" t="str">
        <f>IF(C156="","",ProcessUrl(E156,F156))</f>
        <v/>
      </c>
      <c r="H156" t="str">
        <f t="shared" si="22"/>
        <v/>
      </c>
      <c r="I156" t="str">
        <f t="shared" si="23"/>
        <v/>
      </c>
      <c r="J156" t="str">
        <f>IF(C156="","",ProcessUrl(H156,I156))</f>
        <v/>
      </c>
      <c r="K156" s="7" t="str">
        <f t="shared" si="24"/>
        <v/>
      </c>
      <c r="L156" s="7" t="str">
        <f t="shared" si="25"/>
        <v/>
      </c>
      <c r="M156" s="7" t="str">
        <f t="shared" si="26"/>
        <v/>
      </c>
      <c r="N156" s="7" t="str">
        <f t="shared" si="27"/>
        <v/>
      </c>
      <c r="O156" s="7" t="str">
        <f t="shared" si="28"/>
        <v/>
      </c>
      <c r="P156" t="str">
        <f t="shared" si="29"/>
        <v/>
      </c>
      <c r="Q156" t="str">
        <f>IF(C156="","",ProcessUrl(P156,"GetTestResults"))</f>
        <v/>
      </c>
      <c r="R156" s="10" t="str">
        <f>IF(C156="","",JsProcess("JsonItem",JsProcess("JsonItem",Q156,"Passed"),"count"))</f>
        <v/>
      </c>
      <c r="S156" s="10" t="str">
        <f>IF(C156="","",JsProcess("JsonItem",JsProcess("JsonItem",Q156,"NotExecuted"),"count"))</f>
        <v/>
      </c>
    </row>
    <row r="157" spans="4:19" x14ac:dyDescent="0.25">
      <c r="D157" t="str">
        <f>IF(C157="","",VLOOKUP(A157,Projects!A:B,2,FALSE))</f>
        <v/>
      </c>
      <c r="E157" s="1" t="str">
        <f t="shared" si="20"/>
        <v/>
      </c>
      <c r="F157" t="str">
        <f t="shared" si="21"/>
        <v/>
      </c>
      <c r="G157" t="str">
        <f>IF(C157="","",ProcessUrl(E157,F157))</f>
        <v/>
      </c>
      <c r="H157" t="str">
        <f t="shared" si="22"/>
        <v/>
      </c>
      <c r="I157" t="str">
        <f t="shared" si="23"/>
        <v/>
      </c>
      <c r="J157" t="str">
        <f>IF(C157="","",ProcessUrl(H157,I157))</f>
        <v/>
      </c>
      <c r="K157" s="7" t="str">
        <f t="shared" si="24"/>
        <v/>
      </c>
      <c r="L157" s="7" t="str">
        <f t="shared" si="25"/>
        <v/>
      </c>
      <c r="M157" s="7" t="str">
        <f t="shared" si="26"/>
        <v/>
      </c>
      <c r="N157" s="7" t="str">
        <f t="shared" si="27"/>
        <v/>
      </c>
      <c r="O157" s="7" t="str">
        <f t="shared" si="28"/>
        <v/>
      </c>
      <c r="P157" t="str">
        <f t="shared" si="29"/>
        <v/>
      </c>
      <c r="Q157" t="str">
        <f>IF(C157="","",ProcessUrl(P157,"GetTestResults"))</f>
        <v/>
      </c>
      <c r="R157" s="10" t="str">
        <f>IF(C157="","",JsProcess("JsonItem",JsProcess("JsonItem",Q157,"Passed"),"count"))</f>
        <v/>
      </c>
      <c r="S157" s="10" t="str">
        <f>IF(C157="","",JsProcess("JsonItem",JsProcess("JsonItem",Q157,"NotExecuted"),"count"))</f>
        <v/>
      </c>
    </row>
    <row r="158" spans="4:19" x14ac:dyDescent="0.25">
      <c r="D158" t="str">
        <f>IF(C158="","",VLOOKUP(A158,Projects!A:B,2,FALSE))</f>
        <v/>
      </c>
      <c r="E158" s="1" t="str">
        <f t="shared" si="20"/>
        <v/>
      </c>
      <c r="F158" t="str">
        <f t="shared" si="21"/>
        <v/>
      </c>
      <c r="G158" t="str">
        <f>IF(C158="","",ProcessUrl(E158,F158))</f>
        <v/>
      </c>
      <c r="H158" t="str">
        <f t="shared" si="22"/>
        <v/>
      </c>
      <c r="I158" t="str">
        <f t="shared" si="23"/>
        <v/>
      </c>
      <c r="J158" t="str">
        <f>IF(C158="","",ProcessUrl(H158,I158))</f>
        <v/>
      </c>
      <c r="K158" s="7" t="str">
        <f t="shared" si="24"/>
        <v/>
      </c>
      <c r="L158" s="7" t="str">
        <f t="shared" si="25"/>
        <v/>
      </c>
      <c r="M158" s="7" t="str">
        <f t="shared" si="26"/>
        <v/>
      </c>
      <c r="N158" s="7" t="str">
        <f t="shared" si="27"/>
        <v/>
      </c>
      <c r="O158" s="7" t="str">
        <f t="shared" si="28"/>
        <v/>
      </c>
      <c r="P158" t="str">
        <f t="shared" si="29"/>
        <v/>
      </c>
      <c r="Q158" t="str">
        <f>IF(C158="","",ProcessUrl(P158,"GetTestResults"))</f>
        <v/>
      </c>
      <c r="R158" s="10" t="str">
        <f>IF(C158="","",JsProcess("JsonItem",JsProcess("JsonItem",Q158,"Passed"),"count"))</f>
        <v/>
      </c>
      <c r="S158" s="10" t="str">
        <f>IF(C158="","",JsProcess("JsonItem",JsProcess("JsonItem",Q158,"NotExecuted"),"count"))</f>
        <v/>
      </c>
    </row>
    <row r="159" spans="4:19" x14ac:dyDescent="0.25">
      <c r="D159" t="str">
        <f>IF(C159="","",VLOOKUP(A159,Projects!A:B,2,FALSE))</f>
        <v/>
      </c>
      <c r="E159" s="1" t="str">
        <f t="shared" si="20"/>
        <v/>
      </c>
      <c r="F159" t="str">
        <f t="shared" si="21"/>
        <v/>
      </c>
      <c r="G159" t="str">
        <f>IF(C159="","",ProcessUrl(E159,F159))</f>
        <v/>
      </c>
      <c r="H159" t="str">
        <f t="shared" si="22"/>
        <v/>
      </c>
      <c r="I159" t="str">
        <f t="shared" si="23"/>
        <v/>
      </c>
      <c r="J159" t="str">
        <f>IF(C159="","",ProcessUrl(H159,I159))</f>
        <v/>
      </c>
      <c r="K159" s="7" t="str">
        <f t="shared" si="24"/>
        <v/>
      </c>
      <c r="L159" s="7" t="str">
        <f t="shared" si="25"/>
        <v/>
      </c>
      <c r="M159" s="7" t="str">
        <f t="shared" si="26"/>
        <v/>
      </c>
      <c r="N159" s="7" t="str">
        <f t="shared" si="27"/>
        <v/>
      </c>
      <c r="O159" s="7" t="str">
        <f t="shared" si="28"/>
        <v/>
      </c>
      <c r="P159" t="str">
        <f t="shared" si="29"/>
        <v/>
      </c>
      <c r="Q159" t="str">
        <f>IF(C159="","",ProcessUrl(P159,"GetTestResults"))</f>
        <v/>
      </c>
      <c r="R159" s="10" t="str">
        <f>IF(C159="","",JsProcess("JsonItem",JsProcess("JsonItem",Q159,"Passed"),"count"))</f>
        <v/>
      </c>
      <c r="S159" s="10" t="str">
        <f>IF(C159="","",JsProcess("JsonItem",JsProcess("JsonItem",Q159,"NotExecuted"),"count"))</f>
        <v/>
      </c>
    </row>
    <row r="160" spans="4:19" x14ac:dyDescent="0.25">
      <c r="D160" t="str">
        <f>IF(C160="","",VLOOKUP(A160,Projects!A:B,2,FALSE))</f>
        <v/>
      </c>
      <c r="E160" s="1" t="str">
        <f t="shared" si="20"/>
        <v/>
      </c>
      <c r="F160" t="str">
        <f t="shared" si="21"/>
        <v/>
      </c>
      <c r="G160" t="str">
        <f>IF(C160="","",ProcessUrl(E160,F160))</f>
        <v/>
      </c>
      <c r="H160" t="str">
        <f t="shared" si="22"/>
        <v/>
      </c>
      <c r="I160" t="str">
        <f t="shared" si="23"/>
        <v/>
      </c>
      <c r="J160" t="str">
        <f>IF(C160="","",ProcessUrl(H160,I160))</f>
        <v/>
      </c>
      <c r="K160" s="7" t="str">
        <f t="shared" si="24"/>
        <v/>
      </c>
      <c r="L160" s="7" t="str">
        <f t="shared" si="25"/>
        <v/>
      </c>
      <c r="M160" s="7" t="str">
        <f t="shared" si="26"/>
        <v/>
      </c>
      <c r="N160" s="7" t="str">
        <f t="shared" si="27"/>
        <v/>
      </c>
      <c r="O160" s="7" t="str">
        <f t="shared" si="28"/>
        <v/>
      </c>
      <c r="P160" t="str">
        <f t="shared" si="29"/>
        <v/>
      </c>
      <c r="Q160" t="str">
        <f>IF(C160="","",ProcessUrl(P160,"GetTestResults"))</f>
        <v/>
      </c>
      <c r="R160" s="10" t="str">
        <f>IF(C160="","",JsProcess("JsonItem",JsProcess("JsonItem",Q160,"Passed"),"count"))</f>
        <v/>
      </c>
      <c r="S160" s="10" t="str">
        <f>IF(C160="","",JsProcess("JsonItem",JsProcess("JsonItem",Q160,"NotExecuted"),"count"))</f>
        <v/>
      </c>
    </row>
    <row r="161" spans="4:19" x14ac:dyDescent="0.25">
      <c r="D161" t="str">
        <f>IF(C161="","",VLOOKUP(A161,Projects!A:B,2,FALSE))</f>
        <v/>
      </c>
      <c r="E161" s="1" t="str">
        <f t="shared" si="20"/>
        <v/>
      </c>
      <c r="F161" t="str">
        <f t="shared" si="21"/>
        <v/>
      </c>
      <c r="G161" t="str">
        <f>IF(C161="","",ProcessUrl(E161,F161))</f>
        <v/>
      </c>
      <c r="H161" t="str">
        <f t="shared" si="22"/>
        <v/>
      </c>
      <c r="I161" t="str">
        <f t="shared" si="23"/>
        <v/>
      </c>
      <c r="J161" t="str">
        <f>IF(C161="","",ProcessUrl(H161,I161))</f>
        <v/>
      </c>
      <c r="K161" s="7" t="str">
        <f t="shared" si="24"/>
        <v/>
      </c>
      <c r="L161" s="7" t="str">
        <f t="shared" si="25"/>
        <v/>
      </c>
      <c r="M161" s="7" t="str">
        <f t="shared" si="26"/>
        <v/>
      </c>
      <c r="N161" s="7" t="str">
        <f t="shared" si="27"/>
        <v/>
      </c>
      <c r="O161" s="7" t="str">
        <f t="shared" si="28"/>
        <v/>
      </c>
      <c r="P161" t="str">
        <f t="shared" si="29"/>
        <v/>
      </c>
      <c r="Q161" t="str">
        <f>IF(C161="","",ProcessUrl(P161,"GetTestResults"))</f>
        <v/>
      </c>
      <c r="R161" s="10" t="str">
        <f>IF(C161="","",JsProcess("JsonItem",JsProcess("JsonItem",Q161,"Passed"),"count"))</f>
        <v/>
      </c>
      <c r="S161" s="10" t="str">
        <f>IF(C161="","",JsProcess("JsonItem",JsProcess("JsonItem",Q161,"NotExecuted"),"count"))</f>
        <v/>
      </c>
    </row>
    <row r="162" spans="4:19" x14ac:dyDescent="0.25">
      <c r="D162" t="str">
        <f>IF(C162="","",VLOOKUP(A162,Projects!A:B,2,FALSE))</f>
        <v/>
      </c>
      <c r="E162" s="1" t="str">
        <f t="shared" si="20"/>
        <v/>
      </c>
      <c r="F162" t="str">
        <f t="shared" si="21"/>
        <v/>
      </c>
      <c r="G162" t="str">
        <f>IF(C162="","",ProcessUrl(E162,F162))</f>
        <v/>
      </c>
      <c r="H162" t="str">
        <f t="shared" si="22"/>
        <v/>
      </c>
      <c r="I162" t="str">
        <f t="shared" si="23"/>
        <v/>
      </c>
      <c r="J162" t="str">
        <f>IF(C162="","",ProcessUrl(H162,I162))</f>
        <v/>
      </c>
      <c r="K162" s="7" t="str">
        <f t="shared" si="24"/>
        <v/>
      </c>
      <c r="L162" s="7" t="str">
        <f t="shared" si="25"/>
        <v/>
      </c>
      <c r="M162" s="7" t="str">
        <f t="shared" si="26"/>
        <v/>
      </c>
      <c r="N162" s="7" t="str">
        <f t="shared" si="27"/>
        <v/>
      </c>
      <c r="O162" s="7" t="str">
        <f t="shared" si="28"/>
        <v/>
      </c>
      <c r="P162" t="str">
        <f t="shared" si="29"/>
        <v/>
      </c>
      <c r="Q162" t="str">
        <f>IF(C162="","",ProcessUrl(P162,"GetTestResults"))</f>
        <v/>
      </c>
      <c r="R162" s="10" t="str">
        <f>IF(C162="","",JsProcess("JsonItem",JsProcess("JsonItem",Q162,"Passed"),"count"))</f>
        <v/>
      </c>
      <c r="S162" s="10" t="str">
        <f>IF(C162="","",JsProcess("JsonItem",JsProcess("JsonItem",Q162,"NotExecuted"),"count"))</f>
        <v/>
      </c>
    </row>
    <row r="163" spans="4:19" x14ac:dyDescent="0.25">
      <c r="D163" t="str">
        <f>IF(C163="","",VLOOKUP(A163,Projects!A:B,2,FALSE))</f>
        <v/>
      </c>
      <c r="E163" s="1" t="str">
        <f t="shared" si="20"/>
        <v/>
      </c>
      <c r="F163" t="str">
        <f t="shared" si="21"/>
        <v/>
      </c>
      <c r="G163" t="str">
        <f>IF(C163="","",ProcessUrl(E163,F163))</f>
        <v/>
      </c>
      <c r="H163" t="str">
        <f t="shared" si="22"/>
        <v/>
      </c>
      <c r="I163" t="str">
        <f t="shared" si="23"/>
        <v/>
      </c>
      <c r="J163" t="str">
        <f>IF(C163="","",ProcessUrl(H163,I163))</f>
        <v/>
      </c>
      <c r="K163" s="7" t="str">
        <f t="shared" si="24"/>
        <v/>
      </c>
      <c r="L163" s="7" t="str">
        <f t="shared" si="25"/>
        <v/>
      </c>
      <c r="M163" s="7" t="str">
        <f t="shared" si="26"/>
        <v/>
      </c>
      <c r="N163" s="7" t="str">
        <f t="shared" si="27"/>
        <v/>
      </c>
      <c r="O163" s="7" t="str">
        <f t="shared" si="28"/>
        <v/>
      </c>
      <c r="P163" t="str">
        <f t="shared" si="29"/>
        <v/>
      </c>
      <c r="Q163" t="str">
        <f>IF(C163="","",ProcessUrl(P163,"GetTestResults"))</f>
        <v/>
      </c>
      <c r="R163" s="10" t="str">
        <f>IF(C163="","",JsProcess("JsonItem",JsProcess("JsonItem",Q163,"Passed"),"count"))</f>
        <v/>
      </c>
      <c r="S163" s="10" t="str">
        <f>IF(C163="","",JsProcess("JsonItem",JsProcess("JsonItem",Q163,"NotExecuted"),"count"))</f>
        <v/>
      </c>
    </row>
    <row r="164" spans="4:19" x14ac:dyDescent="0.25">
      <c r="D164" t="str">
        <f>IF(C164="","",VLOOKUP(A164,Projects!A:B,2,FALSE))</f>
        <v/>
      </c>
      <c r="E164" s="1" t="str">
        <f t="shared" si="20"/>
        <v/>
      </c>
      <c r="F164" t="str">
        <f t="shared" si="21"/>
        <v/>
      </c>
      <c r="G164" t="str">
        <f>IF(C164="","",ProcessUrl(E164,F164))</f>
        <v/>
      </c>
      <c r="H164" t="str">
        <f t="shared" si="22"/>
        <v/>
      </c>
      <c r="I164" t="str">
        <f t="shared" si="23"/>
        <v/>
      </c>
      <c r="J164" t="str">
        <f>IF(C164="","",ProcessUrl(H164,I164))</f>
        <v/>
      </c>
      <c r="K164" s="7" t="str">
        <f t="shared" si="24"/>
        <v/>
      </c>
      <c r="L164" s="7" t="str">
        <f t="shared" si="25"/>
        <v/>
      </c>
      <c r="M164" s="7" t="str">
        <f t="shared" si="26"/>
        <v/>
      </c>
      <c r="N164" s="7" t="str">
        <f t="shared" si="27"/>
        <v/>
      </c>
      <c r="O164" s="7" t="str">
        <f t="shared" si="28"/>
        <v/>
      </c>
      <c r="P164" t="str">
        <f t="shared" si="29"/>
        <v/>
      </c>
      <c r="Q164" t="str">
        <f>IF(C164="","",ProcessUrl(P164,"GetTestResults"))</f>
        <v/>
      </c>
      <c r="R164" s="10" t="str">
        <f>IF(C164="","",JsProcess("JsonItem",JsProcess("JsonItem",Q164,"Passed"),"count"))</f>
        <v/>
      </c>
      <c r="S164" s="10" t="str">
        <f>IF(C164="","",JsProcess("JsonItem",JsProcess("JsonItem",Q164,"NotExecuted"),"count"))</f>
        <v/>
      </c>
    </row>
    <row r="165" spans="4:19" x14ac:dyDescent="0.25">
      <c r="D165" t="str">
        <f>IF(C165="","",VLOOKUP(A165,Projects!A:B,2,FALSE))</f>
        <v/>
      </c>
      <c r="E165" s="1" t="str">
        <f t="shared" si="20"/>
        <v/>
      </c>
      <c r="F165" t="str">
        <f t="shared" si="21"/>
        <v/>
      </c>
      <c r="G165" t="str">
        <f>IF(C165="","",ProcessUrl(E165,F165))</f>
        <v/>
      </c>
      <c r="H165" t="str">
        <f t="shared" si="22"/>
        <v/>
      </c>
      <c r="I165" t="str">
        <f t="shared" si="23"/>
        <v/>
      </c>
      <c r="J165" t="str">
        <f>IF(C165="","",ProcessUrl(H165,I165))</f>
        <v/>
      </c>
      <c r="K165" s="7" t="str">
        <f t="shared" si="24"/>
        <v/>
      </c>
      <c r="L165" s="7" t="str">
        <f t="shared" si="25"/>
        <v/>
      </c>
      <c r="M165" s="7" t="str">
        <f t="shared" si="26"/>
        <v/>
      </c>
      <c r="N165" s="7" t="str">
        <f t="shared" si="27"/>
        <v/>
      </c>
      <c r="O165" s="7" t="str">
        <f t="shared" si="28"/>
        <v/>
      </c>
      <c r="P165" t="str">
        <f t="shared" si="29"/>
        <v/>
      </c>
      <c r="Q165" t="str">
        <f>IF(C165="","",ProcessUrl(P165,"GetTestResults"))</f>
        <v/>
      </c>
      <c r="R165" s="10" t="str">
        <f>IF(C165="","",JsProcess("JsonItem",JsProcess("JsonItem",Q165,"Passed"),"count"))</f>
        <v/>
      </c>
      <c r="S165" s="10" t="str">
        <f>IF(C165="","",JsProcess("JsonItem",JsProcess("JsonItem",Q165,"NotExecuted"),"count"))</f>
        <v/>
      </c>
    </row>
    <row r="166" spans="4:19" x14ac:dyDescent="0.25">
      <c r="D166" t="str">
        <f>IF(C166="","",VLOOKUP(A166,Projects!A:B,2,FALSE))</f>
        <v/>
      </c>
      <c r="E166" s="1" t="str">
        <f t="shared" si="20"/>
        <v/>
      </c>
      <c r="F166" t="str">
        <f t="shared" si="21"/>
        <v/>
      </c>
      <c r="G166" t="str">
        <f>IF(C166="","",ProcessUrl(E166,F166))</f>
        <v/>
      </c>
      <c r="H166" t="str">
        <f t="shared" si="22"/>
        <v/>
      </c>
      <c r="I166" t="str">
        <f t="shared" si="23"/>
        <v/>
      </c>
      <c r="J166" t="str">
        <f>IF(C166="","",ProcessUrl(H166,I166))</f>
        <v/>
      </c>
      <c r="K166" s="7" t="str">
        <f t="shared" si="24"/>
        <v/>
      </c>
      <c r="L166" s="7" t="str">
        <f t="shared" si="25"/>
        <v/>
      </c>
      <c r="M166" s="7" t="str">
        <f t="shared" si="26"/>
        <v/>
      </c>
      <c r="N166" s="7" t="str">
        <f t="shared" si="27"/>
        <v/>
      </c>
      <c r="O166" s="7" t="str">
        <f t="shared" si="28"/>
        <v/>
      </c>
      <c r="P166" t="str">
        <f t="shared" si="29"/>
        <v/>
      </c>
      <c r="Q166" t="str">
        <f>IF(C166="","",ProcessUrl(P166,"GetTestResults"))</f>
        <v/>
      </c>
      <c r="R166" s="10" t="str">
        <f>IF(C166="","",JsProcess("JsonItem",JsProcess("JsonItem",Q166,"Passed"),"count"))</f>
        <v/>
      </c>
      <c r="S166" s="10" t="str">
        <f>IF(C166="","",JsProcess("JsonItem",JsProcess("JsonItem",Q166,"NotExecuted"),"count"))</f>
        <v/>
      </c>
    </row>
    <row r="167" spans="4:19" x14ac:dyDescent="0.25">
      <c r="D167" t="str">
        <f>IF(C167="","",VLOOKUP(A167,Projects!A:B,2,FALSE))</f>
        <v/>
      </c>
      <c r="E167" s="1" t="str">
        <f t="shared" si="20"/>
        <v/>
      </c>
      <c r="F167" t="str">
        <f t="shared" si="21"/>
        <v/>
      </c>
      <c r="G167" t="str">
        <f>IF(C167="","",ProcessUrl(E167,F167))</f>
        <v/>
      </c>
      <c r="H167" t="str">
        <f t="shared" si="22"/>
        <v/>
      </c>
      <c r="I167" t="str">
        <f t="shared" si="23"/>
        <v/>
      </c>
      <c r="J167" t="str">
        <f>IF(C167="","",ProcessUrl(H167,I167))</f>
        <v/>
      </c>
      <c r="K167" s="7" t="str">
        <f t="shared" si="24"/>
        <v/>
      </c>
      <c r="L167" s="7" t="str">
        <f t="shared" si="25"/>
        <v/>
      </c>
      <c r="M167" s="7" t="str">
        <f t="shared" si="26"/>
        <v/>
      </c>
      <c r="N167" s="7" t="str">
        <f t="shared" si="27"/>
        <v/>
      </c>
      <c r="O167" s="7" t="str">
        <f t="shared" si="28"/>
        <v/>
      </c>
      <c r="P167" t="str">
        <f t="shared" si="29"/>
        <v/>
      </c>
      <c r="Q167" t="str">
        <f>IF(C167="","",ProcessUrl(P167,"GetTestResults"))</f>
        <v/>
      </c>
      <c r="R167" s="10" t="str">
        <f>IF(C167="","",JsProcess("JsonItem",JsProcess("JsonItem",Q167,"Passed"),"count"))</f>
        <v/>
      </c>
      <c r="S167" s="10" t="str">
        <f>IF(C167="","",JsProcess("JsonItem",JsProcess("JsonItem",Q167,"NotExecuted"),"count"))</f>
        <v/>
      </c>
    </row>
    <row r="168" spans="4:19" x14ac:dyDescent="0.25">
      <c r="D168" t="str">
        <f>IF(C168="","",VLOOKUP(A168,Projects!A:B,2,FALSE))</f>
        <v/>
      </c>
      <c r="E168" s="1" t="str">
        <f t="shared" si="20"/>
        <v/>
      </c>
      <c r="F168" t="str">
        <f t="shared" si="21"/>
        <v/>
      </c>
      <c r="G168" t="str">
        <f>IF(C168="","",ProcessUrl(E168,F168))</f>
        <v/>
      </c>
      <c r="H168" t="str">
        <f t="shared" si="22"/>
        <v/>
      </c>
      <c r="I168" t="str">
        <f t="shared" si="23"/>
        <v/>
      </c>
      <c r="J168" t="str">
        <f>IF(C168="","",ProcessUrl(H168,I168))</f>
        <v/>
      </c>
      <c r="K168" s="7" t="str">
        <f t="shared" si="24"/>
        <v/>
      </c>
      <c r="L168" s="7" t="str">
        <f t="shared" si="25"/>
        <v/>
      </c>
      <c r="M168" s="7" t="str">
        <f t="shared" si="26"/>
        <v/>
      </c>
      <c r="N168" s="7" t="str">
        <f t="shared" si="27"/>
        <v/>
      </c>
      <c r="O168" s="7" t="str">
        <f t="shared" si="28"/>
        <v/>
      </c>
      <c r="P168" t="str">
        <f t="shared" si="29"/>
        <v/>
      </c>
      <c r="Q168" t="str">
        <f>IF(C168="","",ProcessUrl(P168,"GetTestResults"))</f>
        <v/>
      </c>
      <c r="R168" s="10" t="str">
        <f>IF(C168="","",JsProcess("JsonItem",JsProcess("JsonItem",Q168,"Passed"),"count"))</f>
        <v/>
      </c>
      <c r="S168" s="10" t="str">
        <f>IF(C168="","",JsProcess("JsonItem",JsProcess("JsonItem",Q168,"NotExecuted"),"count"))</f>
        <v/>
      </c>
    </row>
    <row r="169" spans="4:19" x14ac:dyDescent="0.25">
      <c r="D169" t="str">
        <f>IF(C169="","",VLOOKUP(A169,Projects!A:B,2,FALSE))</f>
        <v/>
      </c>
      <c r="E169" s="1" t="str">
        <f t="shared" si="20"/>
        <v/>
      </c>
      <c r="F169" t="str">
        <f t="shared" si="21"/>
        <v/>
      </c>
      <c r="G169" t="str">
        <f>IF(C169="","",ProcessUrl(E169,F169))</f>
        <v/>
      </c>
      <c r="H169" t="str">
        <f t="shared" si="22"/>
        <v/>
      </c>
      <c r="I169" t="str">
        <f t="shared" si="23"/>
        <v/>
      </c>
      <c r="J169" t="str">
        <f>IF(C169="","",ProcessUrl(H169,I169))</f>
        <v/>
      </c>
      <c r="K169" s="7" t="str">
        <f t="shared" si="24"/>
        <v/>
      </c>
      <c r="L169" s="7" t="str">
        <f t="shared" si="25"/>
        <v/>
      </c>
      <c r="M169" s="7" t="str">
        <f t="shared" si="26"/>
        <v/>
      </c>
      <c r="N169" s="7" t="str">
        <f t="shared" si="27"/>
        <v/>
      </c>
      <c r="O169" s="7" t="str">
        <f t="shared" si="28"/>
        <v/>
      </c>
      <c r="P169" t="str">
        <f t="shared" si="29"/>
        <v/>
      </c>
      <c r="Q169" t="str">
        <f>IF(C169="","",ProcessUrl(P169,"GetTestResults"))</f>
        <v/>
      </c>
      <c r="R169" s="10" t="str">
        <f>IF(C169="","",JsProcess("JsonItem",JsProcess("JsonItem",Q169,"Passed"),"count"))</f>
        <v/>
      </c>
      <c r="S169" s="10" t="str">
        <f>IF(C169="","",JsProcess("JsonItem",JsProcess("JsonItem",Q169,"NotExecuted"),"count"))</f>
        <v/>
      </c>
    </row>
    <row r="170" spans="4:19" x14ac:dyDescent="0.25">
      <c r="D170" t="str">
        <f>IF(C170="","",VLOOKUP(A170,Projects!A:B,2,FALSE))</f>
        <v/>
      </c>
      <c r="E170" s="1" t="str">
        <f t="shared" si="20"/>
        <v/>
      </c>
      <c r="F170" t="str">
        <f t="shared" si="21"/>
        <v/>
      </c>
      <c r="G170" t="str">
        <f>IF(C170="","",ProcessUrl(E170,F170))</f>
        <v/>
      </c>
      <c r="H170" t="str">
        <f t="shared" si="22"/>
        <v/>
      </c>
      <c r="I170" t="str">
        <f t="shared" si="23"/>
        <v/>
      </c>
      <c r="J170" t="str">
        <f>IF(C170="","",ProcessUrl(H170,I170))</f>
        <v/>
      </c>
      <c r="K170" s="7" t="str">
        <f t="shared" si="24"/>
        <v/>
      </c>
      <c r="L170" s="7" t="str">
        <f t="shared" si="25"/>
        <v/>
      </c>
      <c r="M170" s="7" t="str">
        <f t="shared" si="26"/>
        <v/>
      </c>
      <c r="N170" s="7" t="str">
        <f t="shared" si="27"/>
        <v/>
      </c>
      <c r="O170" s="7" t="str">
        <f t="shared" si="28"/>
        <v/>
      </c>
      <c r="P170" t="str">
        <f t="shared" si="29"/>
        <v/>
      </c>
      <c r="Q170" t="str">
        <f>IF(C170="","",ProcessUrl(P170,"GetTestResults"))</f>
        <v/>
      </c>
      <c r="R170" s="10" t="str">
        <f>IF(C170="","",JsProcess("JsonItem",JsProcess("JsonItem",Q170,"Passed"),"count"))</f>
        <v/>
      </c>
      <c r="S170" s="10" t="str">
        <f>IF(C170="","",JsProcess("JsonItem",JsProcess("JsonItem",Q170,"NotExecuted"),"count"))</f>
        <v/>
      </c>
    </row>
    <row r="171" spans="4:19" x14ac:dyDescent="0.25">
      <c r="D171" t="str">
        <f>IF(C171="","",VLOOKUP(A171,Projects!A:B,2,FALSE))</f>
        <v/>
      </c>
      <c r="E171" s="1" t="str">
        <f t="shared" si="20"/>
        <v/>
      </c>
      <c r="F171" t="str">
        <f t="shared" si="21"/>
        <v/>
      </c>
      <c r="G171" t="str">
        <f>IF(C171="","",ProcessUrl(E171,F171))</f>
        <v/>
      </c>
      <c r="H171" t="str">
        <f t="shared" si="22"/>
        <v/>
      </c>
      <c r="I171" t="str">
        <f t="shared" si="23"/>
        <v/>
      </c>
      <c r="J171" t="str">
        <f>IF(C171="","",ProcessUrl(H171,I171))</f>
        <v/>
      </c>
      <c r="K171" s="7" t="str">
        <f t="shared" si="24"/>
        <v/>
      </c>
      <c r="L171" s="7" t="str">
        <f t="shared" si="25"/>
        <v/>
      </c>
      <c r="M171" s="7" t="str">
        <f t="shared" si="26"/>
        <v/>
      </c>
      <c r="N171" s="7" t="str">
        <f t="shared" si="27"/>
        <v/>
      </c>
      <c r="O171" s="7" t="str">
        <f t="shared" si="28"/>
        <v/>
      </c>
      <c r="P171" t="str">
        <f t="shared" si="29"/>
        <v/>
      </c>
      <c r="Q171" t="str">
        <f>IF(C171="","",ProcessUrl(P171,"GetTestResults"))</f>
        <v/>
      </c>
      <c r="R171" s="10" t="str">
        <f>IF(C171="","",JsProcess("JsonItem",JsProcess("JsonItem",Q171,"Passed"),"count"))</f>
        <v/>
      </c>
      <c r="S171" s="10" t="str">
        <f>IF(C171="","",JsProcess("JsonItem",JsProcess("JsonItem",Q171,"NotExecuted"),"count"))</f>
        <v/>
      </c>
    </row>
    <row r="172" spans="4:19" x14ac:dyDescent="0.25">
      <c r="D172" t="str">
        <f>IF(C172="","",VLOOKUP(A172,Projects!A:B,2,FALSE))</f>
        <v/>
      </c>
      <c r="E172" s="1" t="str">
        <f t="shared" si="20"/>
        <v/>
      </c>
      <c r="F172" t="str">
        <f t="shared" si="21"/>
        <v/>
      </c>
      <c r="G172" t="str">
        <f>IF(C172="","",ProcessUrl(E172,F172))</f>
        <v/>
      </c>
      <c r="H172" t="str">
        <f t="shared" si="22"/>
        <v/>
      </c>
      <c r="I172" t="str">
        <f t="shared" si="23"/>
        <v/>
      </c>
      <c r="J172" t="str">
        <f>IF(C172="","",ProcessUrl(H172,I172))</f>
        <v/>
      </c>
      <c r="K172" s="7" t="str">
        <f t="shared" si="24"/>
        <v/>
      </c>
      <c r="L172" s="7" t="str">
        <f t="shared" si="25"/>
        <v/>
      </c>
      <c r="M172" s="7" t="str">
        <f t="shared" si="26"/>
        <v/>
      </c>
      <c r="N172" s="7" t="str">
        <f t="shared" si="27"/>
        <v/>
      </c>
      <c r="O172" s="7" t="str">
        <f t="shared" si="28"/>
        <v/>
      </c>
      <c r="P172" t="str">
        <f t="shared" si="29"/>
        <v/>
      </c>
      <c r="Q172" t="str">
        <f>IF(C172="","",ProcessUrl(P172,"GetTestResults"))</f>
        <v/>
      </c>
      <c r="R172" s="10" t="str">
        <f>IF(C172="","",JsProcess("JsonItem",JsProcess("JsonItem",Q172,"Passed"),"count"))</f>
        <v/>
      </c>
      <c r="S172" s="10" t="str">
        <f>IF(C172="","",JsProcess("JsonItem",JsProcess("JsonItem",Q172,"NotExecuted"),"count"))</f>
        <v/>
      </c>
    </row>
    <row r="173" spans="4:19" x14ac:dyDescent="0.25">
      <c r="D173" t="str">
        <f>IF(C173="","",VLOOKUP(A173,Projects!A:B,2,FALSE))</f>
        <v/>
      </c>
      <c r="E173" s="1" t="str">
        <f t="shared" si="20"/>
        <v/>
      </c>
      <c r="F173" t="str">
        <f t="shared" si="21"/>
        <v/>
      </c>
      <c r="G173" t="str">
        <f>IF(C173="","",ProcessUrl(E173,F173))</f>
        <v/>
      </c>
      <c r="H173" t="str">
        <f t="shared" si="22"/>
        <v/>
      </c>
      <c r="I173" t="str">
        <f t="shared" si="23"/>
        <v/>
      </c>
      <c r="J173" t="str">
        <f>IF(C173="","",ProcessUrl(H173,I173))</f>
        <v/>
      </c>
      <c r="K173" s="7" t="str">
        <f t="shared" si="24"/>
        <v/>
      </c>
      <c r="L173" s="7" t="str">
        <f t="shared" si="25"/>
        <v/>
      </c>
      <c r="M173" s="7" t="str">
        <f t="shared" si="26"/>
        <v/>
      </c>
      <c r="N173" s="7" t="str">
        <f t="shared" si="27"/>
        <v/>
      </c>
      <c r="O173" s="7" t="str">
        <f t="shared" si="28"/>
        <v/>
      </c>
      <c r="P173" t="str">
        <f t="shared" si="29"/>
        <v/>
      </c>
      <c r="Q173" t="str">
        <f>IF(C173="","",ProcessUrl(P173,"GetTestResults"))</f>
        <v/>
      </c>
      <c r="R173" s="10" t="str">
        <f>IF(C173="","",JsProcess("JsonItem",JsProcess("JsonItem",Q173,"Passed"),"count"))</f>
        <v/>
      </c>
      <c r="S173" s="10" t="str">
        <f>IF(C173="","",JsProcess("JsonItem",JsProcess("JsonItem",Q173,"NotExecuted"),"count"))</f>
        <v/>
      </c>
    </row>
    <row r="174" spans="4:19" x14ac:dyDescent="0.25">
      <c r="D174" t="str">
        <f>IF(C174="","",VLOOKUP(A174,Projects!A:B,2,FALSE))</f>
        <v/>
      </c>
      <c r="E174" s="1" t="str">
        <f t="shared" si="20"/>
        <v/>
      </c>
      <c r="F174" t="str">
        <f t="shared" si="21"/>
        <v/>
      </c>
      <c r="G174" t="str">
        <f>IF(C174="","",ProcessUrl(E174,F174))</f>
        <v/>
      </c>
      <c r="H174" t="str">
        <f t="shared" si="22"/>
        <v/>
      </c>
      <c r="I174" t="str">
        <f t="shared" si="23"/>
        <v/>
      </c>
      <c r="J174" t="str">
        <f>IF(C174="","",ProcessUrl(H174,I174))</f>
        <v/>
      </c>
      <c r="K174" s="7" t="str">
        <f t="shared" si="24"/>
        <v/>
      </c>
      <c r="L174" s="7" t="str">
        <f t="shared" si="25"/>
        <v/>
      </c>
      <c r="M174" s="7" t="str">
        <f t="shared" si="26"/>
        <v/>
      </c>
      <c r="N174" s="7" t="str">
        <f t="shared" si="27"/>
        <v/>
      </c>
      <c r="O174" s="7" t="str">
        <f t="shared" si="28"/>
        <v/>
      </c>
      <c r="P174" t="str">
        <f t="shared" si="29"/>
        <v/>
      </c>
      <c r="Q174" t="str">
        <f>IF(C174="","",ProcessUrl(P174,"GetTestResults"))</f>
        <v/>
      </c>
      <c r="R174" s="10" t="str">
        <f>IF(C174="","",JsProcess("JsonItem",JsProcess("JsonItem",Q174,"Passed"),"count"))</f>
        <v/>
      </c>
      <c r="S174" s="10" t="str">
        <f>IF(C174="","",JsProcess("JsonItem",JsProcess("JsonItem",Q174,"NotExecuted"),"count"))</f>
        <v/>
      </c>
    </row>
    <row r="175" spans="4:19" x14ac:dyDescent="0.25">
      <c r="D175" t="str">
        <f>IF(C175="","",VLOOKUP(A175,Projects!A:B,2,FALSE))</f>
        <v/>
      </c>
      <c r="E175" s="1" t="str">
        <f t="shared" si="20"/>
        <v/>
      </c>
      <c r="F175" t="str">
        <f t="shared" si="21"/>
        <v/>
      </c>
      <c r="G175" t="str">
        <f>IF(C175="","",ProcessUrl(E175,F175))</f>
        <v/>
      </c>
      <c r="H175" t="str">
        <f t="shared" si="22"/>
        <v/>
      </c>
      <c r="I175" t="str">
        <f t="shared" si="23"/>
        <v/>
      </c>
      <c r="J175" t="str">
        <f>IF(C175="","",ProcessUrl(H175,I175))</f>
        <v/>
      </c>
      <c r="K175" s="7" t="str">
        <f t="shared" si="24"/>
        <v/>
      </c>
      <c r="L175" s="7" t="str">
        <f t="shared" si="25"/>
        <v/>
      </c>
      <c r="M175" s="7" t="str">
        <f t="shared" si="26"/>
        <v/>
      </c>
      <c r="N175" s="7" t="str">
        <f t="shared" si="27"/>
        <v/>
      </c>
      <c r="O175" s="7" t="str">
        <f t="shared" si="28"/>
        <v/>
      </c>
      <c r="P175" t="str">
        <f t="shared" si="29"/>
        <v/>
      </c>
      <c r="Q175" t="str">
        <f>IF(C175="","",ProcessUrl(P175,"GetTestResults"))</f>
        <v/>
      </c>
      <c r="R175" s="10" t="str">
        <f>IF(C175="","",JsProcess("JsonItem",JsProcess("JsonItem",Q175,"Passed"),"count"))</f>
        <v/>
      </c>
      <c r="S175" s="10" t="str">
        <f>IF(C175="","",JsProcess("JsonItem",JsProcess("JsonItem",Q175,"NotExecuted"),"count"))</f>
        <v/>
      </c>
    </row>
    <row r="176" spans="4:19" x14ac:dyDescent="0.25">
      <c r="D176" t="str">
        <f>IF(C176="","",VLOOKUP(A176,Projects!A:B,2,FALSE))</f>
        <v/>
      </c>
      <c r="E176" s="1" t="str">
        <f t="shared" si="20"/>
        <v/>
      </c>
      <c r="F176" t="str">
        <f t="shared" si="21"/>
        <v/>
      </c>
      <c r="G176" t="str">
        <f>IF(C176="","",ProcessUrl(E176,F176))</f>
        <v/>
      </c>
      <c r="H176" t="str">
        <f t="shared" si="22"/>
        <v/>
      </c>
      <c r="I176" t="str">
        <f t="shared" si="23"/>
        <v/>
      </c>
      <c r="J176" t="str">
        <f>IF(C176="","",ProcessUrl(H176,I176))</f>
        <v/>
      </c>
      <c r="K176" s="7" t="str">
        <f t="shared" si="24"/>
        <v/>
      </c>
      <c r="L176" s="7" t="str">
        <f t="shared" si="25"/>
        <v/>
      </c>
      <c r="M176" s="7" t="str">
        <f t="shared" si="26"/>
        <v/>
      </c>
      <c r="N176" s="7" t="str">
        <f t="shared" si="27"/>
        <v/>
      </c>
      <c r="O176" s="7" t="str">
        <f t="shared" si="28"/>
        <v/>
      </c>
      <c r="P176" t="str">
        <f t="shared" si="29"/>
        <v/>
      </c>
      <c r="Q176" t="str">
        <f>IF(C176="","",ProcessUrl(P176,"GetTestResults"))</f>
        <v/>
      </c>
      <c r="R176" s="10" t="str">
        <f>IF(C176="","",JsProcess("JsonItem",JsProcess("JsonItem",Q176,"Passed"),"count"))</f>
        <v/>
      </c>
      <c r="S176" s="10" t="str">
        <f>IF(C176="","",JsProcess("JsonItem",JsProcess("JsonItem",Q176,"NotExecuted"),"count"))</f>
        <v/>
      </c>
    </row>
    <row r="177" spans="4:19" x14ac:dyDescent="0.25">
      <c r="D177" t="str">
        <f>IF(C177="","",VLOOKUP(A177,Projects!A:B,2,FALSE))</f>
        <v/>
      </c>
      <c r="E177" s="1" t="str">
        <f t="shared" si="20"/>
        <v/>
      </c>
      <c r="F177" t="str">
        <f t="shared" si="21"/>
        <v/>
      </c>
      <c r="G177" t="str">
        <f>IF(C177="","",ProcessUrl(E177,F177))</f>
        <v/>
      </c>
      <c r="H177" t="str">
        <f t="shared" si="22"/>
        <v/>
      </c>
      <c r="I177" t="str">
        <f t="shared" si="23"/>
        <v/>
      </c>
      <c r="J177" t="str">
        <f>IF(C177="","",ProcessUrl(H177,I177))</f>
        <v/>
      </c>
      <c r="K177" s="7" t="str">
        <f t="shared" si="24"/>
        <v/>
      </c>
      <c r="L177" s="7" t="str">
        <f t="shared" si="25"/>
        <v/>
      </c>
      <c r="M177" s="7" t="str">
        <f t="shared" si="26"/>
        <v/>
      </c>
      <c r="N177" s="7" t="str">
        <f t="shared" si="27"/>
        <v/>
      </c>
      <c r="O177" s="7" t="str">
        <f t="shared" si="28"/>
        <v/>
      </c>
      <c r="P177" t="str">
        <f t="shared" si="29"/>
        <v/>
      </c>
      <c r="Q177" t="str">
        <f>IF(C177="","",ProcessUrl(P177,"GetTestResults"))</f>
        <v/>
      </c>
      <c r="R177" s="10" t="str">
        <f>IF(C177="","",JsProcess("JsonItem",JsProcess("JsonItem",Q177,"Passed"),"count"))</f>
        <v/>
      </c>
      <c r="S177" s="10" t="str">
        <f>IF(C177="","",JsProcess("JsonItem",JsProcess("JsonItem",Q177,"NotExecuted"),"count"))</f>
        <v/>
      </c>
    </row>
    <row r="178" spans="4:19" x14ac:dyDescent="0.25">
      <c r="D178" t="str">
        <f>IF(C178="","",VLOOKUP(A178,Projects!A:B,2,FALSE))</f>
        <v/>
      </c>
      <c r="E178" s="1" t="str">
        <f t="shared" si="20"/>
        <v/>
      </c>
      <c r="F178" t="str">
        <f t="shared" si="21"/>
        <v/>
      </c>
      <c r="G178" t="str">
        <f>IF(C178="","",ProcessUrl(E178,F178))</f>
        <v/>
      </c>
      <c r="H178" t="str">
        <f t="shared" si="22"/>
        <v/>
      </c>
      <c r="I178" t="str">
        <f t="shared" si="23"/>
        <v/>
      </c>
      <c r="J178" t="str">
        <f>IF(C178="","",ProcessUrl(H178,I178))</f>
        <v/>
      </c>
      <c r="K178" s="7" t="str">
        <f t="shared" si="24"/>
        <v/>
      </c>
      <c r="L178" s="7" t="str">
        <f t="shared" si="25"/>
        <v/>
      </c>
      <c r="M178" s="7" t="str">
        <f t="shared" si="26"/>
        <v/>
      </c>
      <c r="N178" s="7" t="str">
        <f t="shared" si="27"/>
        <v/>
      </c>
      <c r="O178" s="7" t="str">
        <f t="shared" si="28"/>
        <v/>
      </c>
      <c r="P178" t="str">
        <f t="shared" si="29"/>
        <v/>
      </c>
      <c r="Q178" t="str">
        <f>IF(C178="","",ProcessUrl(P178,"GetTestResults"))</f>
        <v/>
      </c>
      <c r="R178" s="10" t="str">
        <f>IF(C178="","",JsProcess("JsonItem",JsProcess("JsonItem",Q178,"Passed"),"count"))</f>
        <v/>
      </c>
      <c r="S178" s="10" t="str">
        <f>IF(C178="","",JsProcess("JsonItem",JsProcess("JsonItem",Q178,"NotExecuted"),"count"))</f>
        <v/>
      </c>
    </row>
    <row r="179" spans="4:19" x14ac:dyDescent="0.25">
      <c r="D179" t="str">
        <f>IF(C179="","",VLOOKUP(A179,Projects!A:B,2,FALSE))</f>
        <v/>
      </c>
      <c r="E179" s="1" t="str">
        <f t="shared" si="20"/>
        <v/>
      </c>
      <c r="F179" t="str">
        <f t="shared" si="21"/>
        <v/>
      </c>
      <c r="G179" t="str">
        <f>IF(C179="","",ProcessUrl(E179,F179))</f>
        <v/>
      </c>
      <c r="H179" t="str">
        <f t="shared" si="22"/>
        <v/>
      </c>
      <c r="I179" t="str">
        <f t="shared" si="23"/>
        <v/>
      </c>
      <c r="J179" t="str">
        <f>IF(C179="","",ProcessUrl(H179,I179))</f>
        <v/>
      </c>
      <c r="K179" s="7" t="str">
        <f t="shared" si="24"/>
        <v/>
      </c>
      <c r="L179" s="7" t="str">
        <f t="shared" si="25"/>
        <v/>
      </c>
      <c r="M179" s="7" t="str">
        <f t="shared" si="26"/>
        <v/>
      </c>
      <c r="N179" s="7" t="str">
        <f t="shared" si="27"/>
        <v/>
      </c>
      <c r="O179" s="7" t="str">
        <f t="shared" si="28"/>
        <v/>
      </c>
      <c r="P179" t="str">
        <f t="shared" si="29"/>
        <v/>
      </c>
      <c r="Q179" t="str">
        <f>IF(C179="","",ProcessUrl(P179,"GetTestResults"))</f>
        <v/>
      </c>
      <c r="R179" s="10" t="str">
        <f>IF(C179="","",JsProcess("JsonItem",JsProcess("JsonItem",Q179,"Passed"),"count"))</f>
        <v/>
      </c>
      <c r="S179" s="10" t="str">
        <f>IF(C179="","",JsProcess("JsonItem",JsProcess("JsonItem",Q179,"NotExecuted"),"count"))</f>
        <v/>
      </c>
    </row>
    <row r="180" spans="4:19" x14ac:dyDescent="0.25">
      <c r="D180" t="str">
        <f>IF(C180="","",VLOOKUP(A180,Projects!A:B,2,FALSE))</f>
        <v/>
      </c>
      <c r="E180" s="1" t="str">
        <f t="shared" si="20"/>
        <v/>
      </c>
      <c r="F180" t="str">
        <f t="shared" si="21"/>
        <v/>
      </c>
      <c r="G180" t="str">
        <f>IF(C180="","",ProcessUrl(E180,F180))</f>
        <v/>
      </c>
      <c r="H180" t="str">
        <f t="shared" si="22"/>
        <v/>
      </c>
      <c r="I180" t="str">
        <f t="shared" si="23"/>
        <v/>
      </c>
      <c r="J180" t="str">
        <f>IF(C180="","",ProcessUrl(H180,I180))</f>
        <v/>
      </c>
      <c r="K180" s="7" t="str">
        <f t="shared" si="24"/>
        <v/>
      </c>
      <c r="L180" s="7" t="str">
        <f t="shared" si="25"/>
        <v/>
      </c>
      <c r="M180" s="7" t="str">
        <f t="shared" si="26"/>
        <v/>
      </c>
      <c r="N180" s="7" t="str">
        <f t="shared" si="27"/>
        <v/>
      </c>
      <c r="O180" s="7" t="str">
        <f t="shared" si="28"/>
        <v/>
      </c>
      <c r="P180" t="str">
        <f t="shared" si="29"/>
        <v/>
      </c>
      <c r="Q180" t="str">
        <f>IF(C180="","",ProcessUrl(P180,"GetTestResults"))</f>
        <v/>
      </c>
      <c r="R180" s="10" t="str">
        <f>IF(C180="","",JsProcess("JsonItem",JsProcess("JsonItem",Q180,"Passed"),"count"))</f>
        <v/>
      </c>
      <c r="S180" s="10" t="str">
        <f>IF(C180="","",JsProcess("JsonItem",JsProcess("JsonItem",Q180,"NotExecuted"),"count"))</f>
        <v/>
      </c>
    </row>
    <row r="181" spans="4:19" x14ac:dyDescent="0.25">
      <c r="D181" t="str">
        <f>IF(C181="","",VLOOKUP(A181,Projects!A:B,2,FALSE))</f>
        <v/>
      </c>
      <c r="E181" s="1" t="str">
        <f t="shared" si="20"/>
        <v/>
      </c>
      <c r="F181" t="str">
        <f t="shared" si="21"/>
        <v/>
      </c>
      <c r="G181" t="str">
        <f>IF(C181="","",ProcessUrl(E181,F181))</f>
        <v/>
      </c>
      <c r="H181" t="str">
        <f t="shared" si="22"/>
        <v/>
      </c>
      <c r="I181" t="str">
        <f t="shared" si="23"/>
        <v/>
      </c>
      <c r="J181" t="str">
        <f>IF(C181="","",ProcessUrl(H181,I181))</f>
        <v/>
      </c>
      <c r="K181" s="7" t="str">
        <f t="shared" si="24"/>
        <v/>
      </c>
      <c r="L181" s="7" t="str">
        <f t="shared" si="25"/>
        <v/>
      </c>
      <c r="M181" s="7" t="str">
        <f t="shared" si="26"/>
        <v/>
      </c>
      <c r="N181" s="7" t="str">
        <f t="shared" si="27"/>
        <v/>
      </c>
      <c r="O181" s="7" t="str">
        <f t="shared" si="28"/>
        <v/>
      </c>
      <c r="P181" t="str">
        <f t="shared" si="29"/>
        <v/>
      </c>
      <c r="Q181" t="str">
        <f>IF(C181="","",ProcessUrl(P181,"GetTestResults"))</f>
        <v/>
      </c>
      <c r="R181" s="10" t="str">
        <f>IF(C181="","",JsProcess("JsonItem",JsProcess("JsonItem",Q181,"Passed"),"count"))</f>
        <v/>
      </c>
      <c r="S181" s="10" t="str">
        <f>IF(C181="","",JsProcess("JsonItem",JsProcess("JsonItem",Q181,"NotExecuted"),"count"))</f>
        <v/>
      </c>
    </row>
    <row r="182" spans="4:19" x14ac:dyDescent="0.25">
      <c r="D182" t="str">
        <f>IF(C182="","",VLOOKUP(A182,Projects!A:B,2,FALSE))</f>
        <v/>
      </c>
      <c r="E182" s="1" t="str">
        <f t="shared" si="20"/>
        <v/>
      </c>
      <c r="F182" t="str">
        <f t="shared" si="21"/>
        <v/>
      </c>
      <c r="G182" t="str">
        <f>IF(C182="","",ProcessUrl(E182,F182))</f>
        <v/>
      </c>
      <c r="H182" t="str">
        <f t="shared" si="22"/>
        <v/>
      </c>
      <c r="I182" t="str">
        <f t="shared" si="23"/>
        <v/>
      </c>
      <c r="J182" t="str">
        <f>IF(C182="","",ProcessUrl(H182,I182))</f>
        <v/>
      </c>
      <c r="K182" s="7" t="str">
        <f t="shared" si="24"/>
        <v/>
      </c>
      <c r="L182" s="7" t="str">
        <f t="shared" si="25"/>
        <v/>
      </c>
      <c r="M182" s="7" t="str">
        <f t="shared" si="26"/>
        <v/>
      </c>
      <c r="N182" s="7" t="str">
        <f t="shared" si="27"/>
        <v/>
      </c>
      <c r="O182" s="7" t="str">
        <f t="shared" si="28"/>
        <v/>
      </c>
      <c r="P182" t="str">
        <f t="shared" si="29"/>
        <v/>
      </c>
      <c r="Q182" t="str">
        <f>IF(C182="","",ProcessUrl(P182,"GetTestResults"))</f>
        <v/>
      </c>
      <c r="R182" s="10" t="str">
        <f>IF(C182="","",JsProcess("JsonItem",JsProcess("JsonItem",Q182,"Passed"),"count"))</f>
        <v/>
      </c>
      <c r="S182" s="10" t="str">
        <f>IF(C182="","",JsProcess("JsonItem",JsProcess("JsonItem",Q182,"NotExecuted"),"count"))</f>
        <v/>
      </c>
    </row>
    <row r="183" spans="4:19" x14ac:dyDescent="0.25">
      <c r="D183" t="str">
        <f>IF(C183="","",VLOOKUP(A183,Projects!A:B,2,FALSE))</f>
        <v/>
      </c>
      <c r="E183" s="1" t="str">
        <f t="shared" si="20"/>
        <v/>
      </c>
      <c r="F183" t="str">
        <f t="shared" si="21"/>
        <v/>
      </c>
      <c r="G183" t="str">
        <f>IF(C183="","",ProcessUrl(E183,F183))</f>
        <v/>
      </c>
      <c r="H183" t="str">
        <f t="shared" si="22"/>
        <v/>
      </c>
      <c r="I183" t="str">
        <f t="shared" si="23"/>
        <v/>
      </c>
      <c r="J183" t="str">
        <f>IF(C183="","",ProcessUrl(H183,I183))</f>
        <v/>
      </c>
      <c r="K183" s="7" t="str">
        <f t="shared" si="24"/>
        <v/>
      </c>
      <c r="L183" s="7" t="str">
        <f t="shared" si="25"/>
        <v/>
      </c>
      <c r="M183" s="7" t="str">
        <f t="shared" si="26"/>
        <v/>
      </c>
      <c r="N183" s="7" t="str">
        <f t="shared" si="27"/>
        <v/>
      </c>
      <c r="O183" s="7" t="str">
        <f t="shared" si="28"/>
        <v/>
      </c>
      <c r="P183" t="str">
        <f t="shared" si="29"/>
        <v/>
      </c>
      <c r="Q183" t="str">
        <f>IF(C183="","",ProcessUrl(P183,"GetTestResults"))</f>
        <v/>
      </c>
      <c r="R183" s="10" t="str">
        <f>IF(C183="","",JsProcess("JsonItem",JsProcess("JsonItem",Q183,"Passed"),"count"))</f>
        <v/>
      </c>
      <c r="S183" s="10" t="str">
        <f>IF(C183="","",JsProcess("JsonItem",JsProcess("JsonItem",Q183,"NotExecuted"),"count"))</f>
        <v/>
      </c>
    </row>
    <row r="184" spans="4:19" x14ac:dyDescent="0.25">
      <c r="D184" t="str">
        <f>IF(C184="","",VLOOKUP(A184,Projects!A:B,2,FALSE))</f>
        <v/>
      </c>
      <c r="E184" s="1" t="str">
        <f t="shared" si="20"/>
        <v/>
      </c>
      <c r="F184" t="str">
        <f t="shared" si="21"/>
        <v/>
      </c>
      <c r="G184" t="str">
        <f>IF(C184="","",ProcessUrl(E184,F184))</f>
        <v/>
      </c>
      <c r="H184" t="str">
        <f t="shared" si="22"/>
        <v/>
      </c>
      <c r="I184" t="str">
        <f t="shared" si="23"/>
        <v/>
      </c>
      <c r="J184" t="str">
        <f>IF(C184="","",ProcessUrl(H184,I184))</f>
        <v/>
      </c>
      <c r="K184" s="7" t="str">
        <f t="shared" si="24"/>
        <v/>
      </c>
      <c r="L184" s="7" t="str">
        <f t="shared" si="25"/>
        <v/>
      </c>
      <c r="M184" s="7" t="str">
        <f t="shared" si="26"/>
        <v/>
      </c>
      <c r="N184" s="7" t="str">
        <f t="shared" si="27"/>
        <v/>
      </c>
      <c r="O184" s="7" t="str">
        <f t="shared" si="28"/>
        <v/>
      </c>
      <c r="P184" t="str">
        <f t="shared" si="29"/>
        <v/>
      </c>
      <c r="Q184" t="str">
        <f>IF(C184="","",ProcessUrl(P184,"GetTestResults"))</f>
        <v/>
      </c>
      <c r="R184" s="10" t="str">
        <f>IF(C184="","",JsProcess("JsonItem",JsProcess("JsonItem",Q184,"Passed"),"count"))</f>
        <v/>
      </c>
      <c r="S184" s="10" t="str">
        <f>IF(C184="","",JsProcess("JsonItem",JsProcess("JsonItem",Q184,"NotExecuted"),"count"))</f>
        <v/>
      </c>
    </row>
    <row r="185" spans="4:19" x14ac:dyDescent="0.25">
      <c r="D185" t="str">
        <f>IF(C185="","",VLOOKUP(A185,Projects!A:B,2,FALSE))</f>
        <v/>
      </c>
      <c r="E185" s="1" t="str">
        <f t="shared" si="20"/>
        <v/>
      </c>
      <c r="F185" t="str">
        <f t="shared" si="21"/>
        <v/>
      </c>
      <c r="G185" t="str">
        <f>IF(C185="","",ProcessUrl(E185,F185))</f>
        <v/>
      </c>
      <c r="H185" t="str">
        <f t="shared" si="22"/>
        <v/>
      </c>
      <c r="I185" t="str">
        <f t="shared" si="23"/>
        <v/>
      </c>
      <c r="J185" t="str">
        <f>IF(C185="","",ProcessUrl(H185,I185))</f>
        <v/>
      </c>
      <c r="K185" s="7" t="str">
        <f t="shared" si="24"/>
        <v/>
      </c>
      <c r="L185" s="7" t="str">
        <f t="shared" si="25"/>
        <v/>
      </c>
      <c r="M185" s="7" t="str">
        <f t="shared" si="26"/>
        <v/>
      </c>
      <c r="N185" s="7" t="str">
        <f t="shared" si="27"/>
        <v/>
      </c>
      <c r="O185" s="7" t="str">
        <f t="shared" si="28"/>
        <v/>
      </c>
      <c r="P185" t="str">
        <f t="shared" si="29"/>
        <v/>
      </c>
      <c r="Q185" t="str">
        <f>IF(C185="","",ProcessUrl(P185,"GetTestResults"))</f>
        <v/>
      </c>
      <c r="R185" s="10" t="str">
        <f>IF(C185="","",JsProcess("JsonItem",JsProcess("JsonItem",Q185,"Passed"),"count"))</f>
        <v/>
      </c>
      <c r="S185" s="10" t="str">
        <f>IF(C185="","",JsProcess("JsonItem",JsProcess("JsonItem",Q185,"NotExecuted"),"count"))</f>
        <v/>
      </c>
    </row>
    <row r="186" spans="4:19" x14ac:dyDescent="0.25">
      <c r="D186" t="str">
        <f>IF(C186="","",VLOOKUP(A186,Projects!A:B,2,FALSE))</f>
        <v/>
      </c>
      <c r="E186" s="1" t="str">
        <f t="shared" si="20"/>
        <v/>
      </c>
      <c r="F186" t="str">
        <f t="shared" si="21"/>
        <v/>
      </c>
      <c r="G186" t="str">
        <f>IF(C186="","",ProcessUrl(E186,F186))</f>
        <v/>
      </c>
      <c r="H186" t="str">
        <f t="shared" si="22"/>
        <v/>
      </c>
      <c r="I186" t="str">
        <f t="shared" si="23"/>
        <v/>
      </c>
      <c r="J186" t="str">
        <f>IF(C186="","",ProcessUrl(H186,I186))</f>
        <v/>
      </c>
      <c r="K186" s="7" t="str">
        <f t="shared" si="24"/>
        <v/>
      </c>
      <c r="L186" s="7" t="str">
        <f t="shared" si="25"/>
        <v/>
      </c>
      <c r="M186" s="7" t="str">
        <f t="shared" si="26"/>
        <v/>
      </c>
      <c r="N186" s="7" t="str">
        <f t="shared" si="27"/>
        <v/>
      </c>
      <c r="O186" s="7" t="str">
        <f t="shared" si="28"/>
        <v/>
      </c>
      <c r="P186" t="str">
        <f t="shared" si="29"/>
        <v/>
      </c>
      <c r="Q186" t="str">
        <f>IF(C186="","",ProcessUrl(P186,"GetTestResults"))</f>
        <v/>
      </c>
      <c r="R186" s="10" t="str">
        <f>IF(C186="","",JsProcess("JsonItem",JsProcess("JsonItem",Q186,"Passed"),"count"))</f>
        <v/>
      </c>
      <c r="S186" s="10" t="str">
        <f>IF(C186="","",JsProcess("JsonItem",JsProcess("JsonItem",Q186,"NotExecuted"),"count"))</f>
        <v/>
      </c>
    </row>
    <row r="187" spans="4:19" x14ac:dyDescent="0.25">
      <c r="D187" t="str">
        <f>IF(C187="","",VLOOKUP(A187,Projects!A:B,2,FALSE))</f>
        <v/>
      </c>
      <c r="E187" s="1" t="str">
        <f t="shared" si="20"/>
        <v/>
      </c>
      <c r="F187" t="str">
        <f t="shared" si="21"/>
        <v/>
      </c>
      <c r="G187" t="str">
        <f>IF(C187="","",ProcessUrl(E187,F187))</f>
        <v/>
      </c>
      <c r="H187" t="str">
        <f t="shared" si="22"/>
        <v/>
      </c>
      <c r="I187" t="str">
        <f t="shared" si="23"/>
        <v/>
      </c>
      <c r="J187" t="str">
        <f>IF(C187="","",ProcessUrl(H187,I187))</f>
        <v/>
      </c>
      <c r="K187" s="7" t="str">
        <f t="shared" si="24"/>
        <v/>
      </c>
      <c r="L187" s="7" t="str">
        <f t="shared" si="25"/>
        <v/>
      </c>
      <c r="M187" s="7" t="str">
        <f t="shared" si="26"/>
        <v/>
      </c>
      <c r="N187" s="7" t="str">
        <f t="shared" si="27"/>
        <v/>
      </c>
      <c r="O187" s="7" t="str">
        <f t="shared" si="28"/>
        <v/>
      </c>
      <c r="P187" t="str">
        <f t="shared" si="29"/>
        <v/>
      </c>
      <c r="Q187" t="str">
        <f>IF(C187="","",ProcessUrl(P187,"GetTestResults"))</f>
        <v/>
      </c>
      <c r="R187" s="10" t="str">
        <f>IF(C187="","",JsProcess("JsonItem",JsProcess("JsonItem",Q187,"Passed"),"count"))</f>
        <v/>
      </c>
      <c r="S187" s="10" t="str">
        <f>IF(C187="","",JsProcess("JsonItem",JsProcess("JsonItem",Q187,"NotExecuted"),"count"))</f>
        <v/>
      </c>
    </row>
    <row r="188" spans="4:19" x14ac:dyDescent="0.25">
      <c r="D188" t="str">
        <f>IF(C188="","",VLOOKUP(A188,Projects!A:B,2,FALSE))</f>
        <v/>
      </c>
      <c r="E188" s="1" t="str">
        <f t="shared" si="20"/>
        <v/>
      </c>
      <c r="F188" t="str">
        <f t="shared" si="21"/>
        <v/>
      </c>
      <c r="G188" t="str">
        <f>IF(C188="","",ProcessUrl(E188,F188))</f>
        <v/>
      </c>
      <c r="H188" t="str">
        <f t="shared" si="22"/>
        <v/>
      </c>
      <c r="I188" t="str">
        <f t="shared" si="23"/>
        <v/>
      </c>
      <c r="J188" t="str">
        <f>IF(C188="","",ProcessUrl(H188,I188))</f>
        <v/>
      </c>
      <c r="K188" s="7" t="str">
        <f t="shared" si="24"/>
        <v/>
      </c>
      <c r="L188" s="7" t="str">
        <f t="shared" si="25"/>
        <v/>
      </c>
      <c r="M188" s="7" t="str">
        <f t="shared" si="26"/>
        <v/>
      </c>
      <c r="N188" s="7" t="str">
        <f t="shared" si="27"/>
        <v/>
      </c>
      <c r="O188" s="7" t="str">
        <f t="shared" si="28"/>
        <v/>
      </c>
      <c r="P188" t="str">
        <f t="shared" si="29"/>
        <v/>
      </c>
      <c r="Q188" t="str">
        <f>IF(C188="","",ProcessUrl(P188,"GetTestResults"))</f>
        <v/>
      </c>
      <c r="R188" s="10" t="str">
        <f>IF(C188="","",JsProcess("JsonItem",JsProcess("JsonItem",Q188,"Passed"),"count"))</f>
        <v/>
      </c>
      <c r="S188" s="10" t="str">
        <f>IF(C188="","",JsProcess("JsonItem",JsProcess("JsonItem",Q188,"NotExecuted"),"count"))</f>
        <v/>
      </c>
    </row>
    <row r="189" spans="4:19" x14ac:dyDescent="0.25">
      <c r="D189" t="str">
        <f>IF(C189="","",VLOOKUP(A189,Projects!A:B,2,FALSE))</f>
        <v/>
      </c>
      <c r="E189" s="1" t="str">
        <f t="shared" si="20"/>
        <v/>
      </c>
      <c r="F189" t="str">
        <f t="shared" si="21"/>
        <v/>
      </c>
      <c r="G189" t="str">
        <f>IF(C189="","",ProcessUrl(E189,F189))</f>
        <v/>
      </c>
      <c r="H189" t="str">
        <f t="shared" si="22"/>
        <v/>
      </c>
      <c r="I189" t="str">
        <f t="shared" si="23"/>
        <v/>
      </c>
      <c r="J189" t="str">
        <f>IF(C189="","",ProcessUrl(H189,I189))</f>
        <v/>
      </c>
      <c r="K189" s="7" t="str">
        <f t="shared" si="24"/>
        <v/>
      </c>
      <c r="L189" s="7" t="str">
        <f t="shared" si="25"/>
        <v/>
      </c>
      <c r="M189" s="7" t="str">
        <f t="shared" si="26"/>
        <v/>
      </c>
      <c r="N189" s="7" t="str">
        <f t="shared" si="27"/>
        <v/>
      </c>
      <c r="O189" s="7" t="str">
        <f t="shared" si="28"/>
        <v/>
      </c>
      <c r="P189" t="str">
        <f t="shared" si="29"/>
        <v/>
      </c>
      <c r="Q189" t="str">
        <f>IF(C189="","",ProcessUrl(P189,"GetTestResults"))</f>
        <v/>
      </c>
      <c r="R189" s="10" t="str">
        <f>IF(C189="","",JsProcess("JsonItem",JsProcess("JsonItem",Q189,"Passed"),"count"))</f>
        <v/>
      </c>
      <c r="S189" s="10" t="str">
        <f>IF(C189="","",JsProcess("JsonItem",JsProcess("JsonItem",Q189,"NotExecuted"),"count"))</f>
        <v/>
      </c>
    </row>
    <row r="190" spans="4:19" x14ac:dyDescent="0.25">
      <c r="D190" t="str">
        <f>IF(C190="","",VLOOKUP(A190,Projects!A:B,2,FALSE))</f>
        <v/>
      </c>
      <c r="E190" s="1" t="str">
        <f t="shared" si="20"/>
        <v/>
      </c>
      <c r="F190" t="str">
        <f t="shared" si="21"/>
        <v/>
      </c>
      <c r="G190" t="str">
        <f>IF(C190="","",ProcessUrl(E190,F190))</f>
        <v/>
      </c>
      <c r="H190" t="str">
        <f t="shared" si="22"/>
        <v/>
      </c>
      <c r="I190" t="str">
        <f t="shared" si="23"/>
        <v/>
      </c>
      <c r="J190" t="str">
        <f>IF(C190="","",ProcessUrl(H190,I190))</f>
        <v/>
      </c>
      <c r="K190" s="7" t="str">
        <f t="shared" si="24"/>
        <v/>
      </c>
      <c r="L190" s="7" t="str">
        <f t="shared" si="25"/>
        <v/>
      </c>
      <c r="M190" s="7" t="str">
        <f t="shared" si="26"/>
        <v/>
      </c>
      <c r="N190" s="7" t="str">
        <f t="shared" si="27"/>
        <v/>
      </c>
      <c r="O190" s="7" t="str">
        <f t="shared" si="28"/>
        <v/>
      </c>
      <c r="P190" t="str">
        <f t="shared" si="29"/>
        <v/>
      </c>
      <c r="Q190" t="str">
        <f>IF(C190="","",ProcessUrl(P190,"GetTestResults"))</f>
        <v/>
      </c>
      <c r="R190" s="10" t="str">
        <f>IF(C190="","",JsProcess("JsonItem",JsProcess("JsonItem",Q190,"Passed"),"count"))</f>
        <v/>
      </c>
      <c r="S190" s="10" t="str">
        <f>IF(C190="","",JsProcess("JsonItem",JsProcess("JsonItem",Q190,"NotExecuted"),"count"))</f>
        <v/>
      </c>
    </row>
    <row r="191" spans="4:19" x14ac:dyDescent="0.25">
      <c r="D191" t="str">
        <f>IF(C191="","",VLOOKUP(A191,Projects!A:B,2,FALSE))</f>
        <v/>
      </c>
      <c r="E191" s="1" t="str">
        <f t="shared" si="20"/>
        <v/>
      </c>
      <c r="F191" t="str">
        <f t="shared" si="21"/>
        <v/>
      </c>
      <c r="G191" t="str">
        <f>IF(C191="","",ProcessUrl(E191,F191))</f>
        <v/>
      </c>
      <c r="H191" t="str">
        <f t="shared" si="22"/>
        <v/>
      </c>
      <c r="I191" t="str">
        <f t="shared" si="23"/>
        <v/>
      </c>
      <c r="J191" t="str">
        <f>IF(C191="","",ProcessUrl(H191,I191))</f>
        <v/>
      </c>
      <c r="K191" s="7" t="str">
        <f t="shared" si="24"/>
        <v/>
      </c>
      <c r="L191" s="7" t="str">
        <f t="shared" si="25"/>
        <v/>
      </c>
      <c r="M191" s="7" t="str">
        <f t="shared" si="26"/>
        <v/>
      </c>
      <c r="N191" s="7" t="str">
        <f t="shared" si="27"/>
        <v/>
      </c>
      <c r="O191" s="7" t="str">
        <f t="shared" si="28"/>
        <v/>
      </c>
      <c r="P191" t="str">
        <f t="shared" si="29"/>
        <v/>
      </c>
      <c r="Q191" t="str">
        <f>IF(C191="","",ProcessUrl(P191,"GetTestResults"))</f>
        <v/>
      </c>
      <c r="R191" s="10" t="str">
        <f>IF(C191="","",JsProcess("JsonItem",JsProcess("JsonItem",Q191,"Passed"),"count"))</f>
        <v/>
      </c>
      <c r="S191" s="10" t="str">
        <f>IF(C191="","",JsProcess("JsonItem",JsProcess("JsonItem",Q191,"NotExecuted"),"count"))</f>
        <v/>
      </c>
    </row>
    <row r="192" spans="4:19" x14ac:dyDescent="0.25">
      <c r="D192" t="str">
        <f>IF(C192="","",VLOOKUP(A192,Projects!A:B,2,FALSE))</f>
        <v/>
      </c>
      <c r="E192" s="1" t="str">
        <f t="shared" si="20"/>
        <v/>
      </c>
      <c r="F192" t="str">
        <f t="shared" si="21"/>
        <v/>
      </c>
      <c r="G192" t="str">
        <f>IF(C192="","",ProcessUrl(E192,F192))</f>
        <v/>
      </c>
      <c r="H192" t="str">
        <f t="shared" si="22"/>
        <v/>
      </c>
      <c r="I192" t="str">
        <f t="shared" si="23"/>
        <v/>
      </c>
      <c r="J192" t="str">
        <f>IF(C192="","",ProcessUrl(H192,I192))</f>
        <v/>
      </c>
      <c r="K192" s="7" t="str">
        <f t="shared" si="24"/>
        <v/>
      </c>
      <c r="L192" s="7" t="str">
        <f t="shared" si="25"/>
        <v/>
      </c>
      <c r="M192" s="7" t="str">
        <f t="shared" si="26"/>
        <v/>
      </c>
      <c r="N192" s="7" t="str">
        <f t="shared" si="27"/>
        <v/>
      </c>
      <c r="O192" s="7" t="str">
        <f t="shared" si="28"/>
        <v/>
      </c>
      <c r="P192" t="str">
        <f t="shared" si="29"/>
        <v/>
      </c>
      <c r="Q192" t="str">
        <f>IF(C192="","",ProcessUrl(P192,"GetTestResults"))</f>
        <v/>
      </c>
      <c r="R192" s="10" t="str">
        <f>IF(C192="","",JsProcess("JsonItem",JsProcess("JsonItem",Q192,"Passed"),"count"))</f>
        <v/>
      </c>
      <c r="S192" s="10" t="str">
        <f>IF(C192="","",JsProcess("JsonItem",JsProcess("JsonItem",Q192,"NotExecuted"),"count"))</f>
        <v/>
      </c>
    </row>
    <row r="193" spans="4:19" x14ac:dyDescent="0.25">
      <c r="D193" t="str">
        <f>IF(C193="","",VLOOKUP(A193,Projects!A:B,2,FALSE))</f>
        <v/>
      </c>
      <c r="E193" s="1" t="str">
        <f t="shared" si="20"/>
        <v/>
      </c>
      <c r="F193" t="str">
        <f t="shared" si="21"/>
        <v/>
      </c>
      <c r="G193" t="str">
        <f>IF(C193="","",ProcessUrl(E193,F193))</f>
        <v/>
      </c>
      <c r="H193" t="str">
        <f t="shared" si="22"/>
        <v/>
      </c>
      <c r="I193" t="str">
        <f t="shared" si="23"/>
        <v/>
      </c>
      <c r="J193" t="str">
        <f>IF(C193="","",ProcessUrl(H193,I193))</f>
        <v/>
      </c>
      <c r="K193" s="7" t="str">
        <f t="shared" si="24"/>
        <v/>
      </c>
      <c r="L193" s="7" t="str">
        <f t="shared" si="25"/>
        <v/>
      </c>
      <c r="M193" s="7" t="str">
        <f t="shared" si="26"/>
        <v/>
      </c>
      <c r="N193" s="7" t="str">
        <f t="shared" si="27"/>
        <v/>
      </c>
      <c r="O193" s="7" t="str">
        <f t="shared" si="28"/>
        <v/>
      </c>
      <c r="P193" t="str">
        <f t="shared" si="29"/>
        <v/>
      </c>
      <c r="Q193" t="str">
        <f>IF(C193="","",ProcessUrl(P193,"GetTestResults"))</f>
        <v/>
      </c>
      <c r="R193" s="10" t="str">
        <f>IF(C193="","",JsProcess("JsonItem",JsProcess("JsonItem",Q193,"Passed"),"count"))</f>
        <v/>
      </c>
      <c r="S193" s="10" t="str">
        <f>IF(C193="","",JsProcess("JsonItem",JsProcess("JsonItem",Q193,"NotExecuted"),"count"))</f>
        <v/>
      </c>
    </row>
    <row r="194" spans="4:19" x14ac:dyDescent="0.25">
      <c r="D194" t="str">
        <f>IF(C194="","",VLOOKUP(A194,Projects!A:B,2,FALSE))</f>
        <v/>
      </c>
      <c r="E194" s="1" t="str">
        <f t="shared" si="20"/>
        <v/>
      </c>
      <c r="F194" t="str">
        <f t="shared" si="21"/>
        <v/>
      </c>
      <c r="G194" t="str">
        <f>IF(C194="","",ProcessUrl(E194,F194))</f>
        <v/>
      </c>
      <c r="H194" t="str">
        <f t="shared" si="22"/>
        <v/>
      </c>
      <c r="I194" t="str">
        <f t="shared" si="23"/>
        <v/>
      </c>
      <c r="J194" t="str">
        <f>IF(C194="","",ProcessUrl(H194,I194))</f>
        <v/>
      </c>
      <c r="K194" s="7" t="str">
        <f t="shared" si="24"/>
        <v/>
      </c>
      <c r="L194" s="7" t="str">
        <f t="shared" si="25"/>
        <v/>
      </c>
      <c r="M194" s="7" t="str">
        <f t="shared" si="26"/>
        <v/>
      </c>
      <c r="N194" s="7" t="str">
        <f t="shared" si="27"/>
        <v/>
      </c>
      <c r="O194" s="7" t="str">
        <f t="shared" si="28"/>
        <v/>
      </c>
      <c r="P194" t="str">
        <f t="shared" si="29"/>
        <v/>
      </c>
      <c r="Q194" t="str">
        <f>IF(C194="","",ProcessUrl(P194,"GetTestResults"))</f>
        <v/>
      </c>
      <c r="R194" s="10" t="str">
        <f>IF(C194="","",JsProcess("JsonItem",JsProcess("JsonItem",Q194,"Passed"),"count"))</f>
        <v/>
      </c>
      <c r="S194" s="10" t="str">
        <f>IF(C194="","",JsProcess("JsonItem",JsProcess("JsonItem",Q194,"NotExecuted"),"count"))</f>
        <v/>
      </c>
    </row>
    <row r="195" spans="4:19" x14ac:dyDescent="0.25">
      <c r="D195" t="str">
        <f>IF(C195="","",VLOOKUP(A195,Projects!A:B,2,FALSE))</f>
        <v/>
      </c>
      <c r="E195" s="1" t="str">
        <f t="shared" si="20"/>
        <v/>
      </c>
      <c r="F195" t="str">
        <f t="shared" si="21"/>
        <v/>
      </c>
      <c r="G195" t="str">
        <f>IF(C195="","",ProcessUrl(E195,F195))</f>
        <v/>
      </c>
      <c r="H195" t="str">
        <f t="shared" si="22"/>
        <v/>
      </c>
      <c r="I195" t="str">
        <f t="shared" si="23"/>
        <v/>
      </c>
      <c r="J195" t="str">
        <f>IF(C195="","",ProcessUrl(H195,I195))</f>
        <v/>
      </c>
      <c r="K195" s="7" t="str">
        <f t="shared" si="24"/>
        <v/>
      </c>
      <c r="L195" s="7" t="str">
        <f t="shared" si="25"/>
        <v/>
      </c>
      <c r="M195" s="7" t="str">
        <f t="shared" si="26"/>
        <v/>
      </c>
      <c r="N195" s="7" t="str">
        <f t="shared" si="27"/>
        <v/>
      </c>
      <c r="O195" s="7" t="str">
        <f t="shared" si="28"/>
        <v/>
      </c>
      <c r="P195" t="str">
        <f t="shared" si="29"/>
        <v/>
      </c>
      <c r="Q195" t="str">
        <f>IF(C195="","",ProcessUrl(P195,"GetTestResults"))</f>
        <v/>
      </c>
      <c r="R195" s="10" t="str">
        <f>IF(C195="","",JsProcess("JsonItem",JsProcess("JsonItem",Q195,"Passed"),"count"))</f>
        <v/>
      </c>
      <c r="S195" s="10" t="str">
        <f>IF(C195="","",JsProcess("JsonItem",JsProcess("JsonItem",Q195,"NotExecuted"),"count"))</f>
        <v/>
      </c>
    </row>
    <row r="196" spans="4:19" x14ac:dyDescent="0.25">
      <c r="D196" t="str">
        <f>IF(C196="","",VLOOKUP(A196,Projects!A:B,2,FALSE))</f>
        <v/>
      </c>
      <c r="E196" s="1" t="str">
        <f t="shared" ref="E196:E259" si="30">IF(C196="","","http://tfs.ttx.com:8080/tfs/DefaultCollection/"&amp;D196&amp;"/_apis/build/Builds?%24top=25&amp;statusFilter=2&amp;definitions="&amp;C196)</f>
        <v/>
      </c>
      <c r="F196" t="str">
        <f t="shared" ref="F196:F259" si="31">IF(C196="","","GetRecentBuildId")</f>
        <v/>
      </c>
      <c r="G196" t="str">
        <f>IF(C196="","",ProcessUrl(E196,F196))</f>
        <v/>
      </c>
      <c r="H196" t="str">
        <f t="shared" ref="H196:H259" si="32">IF(C196="","","http://tfs.ttx.com:8080/tfs/DefaultCollection/"&amp;D196&amp;"/_apis/test/CodeCoverage?buildId="&amp;G196&amp;"&amp;flags=1")</f>
        <v/>
      </c>
      <c r="I196" t="str">
        <f t="shared" ref="I196:I259" si="33">IF(C196="","","GetCodeCoverage")</f>
        <v/>
      </c>
      <c r="J196" t="str">
        <f>IF(C196="","",ProcessUrl(H196,I196))</f>
        <v/>
      </c>
      <c r="K196" s="7" t="str">
        <f t="shared" ref="K196:K259" si="34">IF(C196="","",JsProcess("JsonItem",J196,"blocksCovered"))</f>
        <v/>
      </c>
      <c r="L196" s="7" t="str">
        <f t="shared" ref="L196:L259" si="35">IF(C196="","",JsProcess("JsonItem",J196,"blocksNotCovered"))</f>
        <v/>
      </c>
      <c r="M196" s="7" t="str">
        <f t="shared" ref="M196:M259" si="36">IF(C196="","",JsProcess("JsonItem",J196,"linesCovered"))</f>
        <v/>
      </c>
      <c r="N196" s="7" t="str">
        <f t="shared" ref="N196:N259" si="37">IF(C196="","",JsProcess("JsonItem",J196,"linesNotCovered"))</f>
        <v/>
      </c>
      <c r="O196" s="7" t="str">
        <f t="shared" ref="O196:O259" si="38">IF(C196="","",JsProcess("JsonItem",J196,"linesPartiallyCovered"))</f>
        <v/>
      </c>
      <c r="P196" t="str">
        <f t="shared" ref="P196:P259" si="39">IF(C196="","","http://tfs.ttx.com:8080/tfs/DefaultCollection/"&amp;A196&amp;"/_apis/test/ReportForBuild/"&amp;G196&amp;"?sourceWorkflow=CI&amp;includeFailureDetails=true ")</f>
        <v/>
      </c>
      <c r="Q196" t="str">
        <f>IF(C196="","",ProcessUrl(P196,"GetTestResults"))</f>
        <v/>
      </c>
      <c r="R196" s="10" t="str">
        <f>IF(C196="","",JsProcess("JsonItem",JsProcess("JsonItem",Q196,"Passed"),"count"))</f>
        <v/>
      </c>
      <c r="S196" s="10" t="str">
        <f>IF(C196="","",JsProcess("JsonItem",JsProcess("JsonItem",Q196,"NotExecuted"),"count"))</f>
        <v/>
      </c>
    </row>
    <row r="197" spans="4:19" x14ac:dyDescent="0.25">
      <c r="D197" t="str">
        <f>IF(C197="","",VLOOKUP(A197,Projects!A:B,2,FALSE))</f>
        <v/>
      </c>
      <c r="E197" s="1" t="str">
        <f t="shared" si="30"/>
        <v/>
      </c>
      <c r="F197" t="str">
        <f t="shared" si="31"/>
        <v/>
      </c>
      <c r="G197" t="str">
        <f>IF(C197="","",ProcessUrl(E197,F197))</f>
        <v/>
      </c>
      <c r="H197" t="str">
        <f t="shared" si="32"/>
        <v/>
      </c>
      <c r="I197" t="str">
        <f t="shared" si="33"/>
        <v/>
      </c>
      <c r="J197" t="str">
        <f>IF(C197="","",ProcessUrl(H197,I197))</f>
        <v/>
      </c>
      <c r="K197" s="7" t="str">
        <f t="shared" si="34"/>
        <v/>
      </c>
      <c r="L197" s="7" t="str">
        <f t="shared" si="35"/>
        <v/>
      </c>
      <c r="M197" s="7" t="str">
        <f t="shared" si="36"/>
        <v/>
      </c>
      <c r="N197" s="7" t="str">
        <f t="shared" si="37"/>
        <v/>
      </c>
      <c r="O197" s="7" t="str">
        <f t="shared" si="38"/>
        <v/>
      </c>
      <c r="P197" t="str">
        <f t="shared" si="39"/>
        <v/>
      </c>
      <c r="Q197" t="str">
        <f>IF(C197="","",ProcessUrl(P197,"GetTestResults"))</f>
        <v/>
      </c>
      <c r="R197" s="10" t="str">
        <f>IF(C197="","",JsProcess("JsonItem",JsProcess("JsonItem",Q197,"Passed"),"count"))</f>
        <v/>
      </c>
      <c r="S197" s="10" t="str">
        <f>IF(C197="","",JsProcess("JsonItem",JsProcess("JsonItem",Q197,"NotExecuted"),"count"))</f>
        <v/>
      </c>
    </row>
    <row r="198" spans="4:19" x14ac:dyDescent="0.25">
      <c r="D198" t="str">
        <f>IF(C198="","",VLOOKUP(A198,Projects!A:B,2,FALSE))</f>
        <v/>
      </c>
      <c r="E198" s="1" t="str">
        <f t="shared" si="30"/>
        <v/>
      </c>
      <c r="F198" t="str">
        <f t="shared" si="31"/>
        <v/>
      </c>
      <c r="G198" t="str">
        <f>IF(C198="","",ProcessUrl(E198,F198))</f>
        <v/>
      </c>
      <c r="H198" t="str">
        <f t="shared" si="32"/>
        <v/>
      </c>
      <c r="I198" t="str">
        <f t="shared" si="33"/>
        <v/>
      </c>
      <c r="J198" t="str">
        <f>IF(C198="","",ProcessUrl(H198,I198))</f>
        <v/>
      </c>
      <c r="K198" s="7" t="str">
        <f t="shared" si="34"/>
        <v/>
      </c>
      <c r="L198" s="7" t="str">
        <f t="shared" si="35"/>
        <v/>
      </c>
      <c r="M198" s="7" t="str">
        <f t="shared" si="36"/>
        <v/>
      </c>
      <c r="N198" s="7" t="str">
        <f t="shared" si="37"/>
        <v/>
      </c>
      <c r="O198" s="7" t="str">
        <f t="shared" si="38"/>
        <v/>
      </c>
      <c r="P198" t="str">
        <f t="shared" si="39"/>
        <v/>
      </c>
      <c r="Q198" t="str">
        <f>IF(C198="","",ProcessUrl(P198,"GetTestResults"))</f>
        <v/>
      </c>
      <c r="R198" s="10" t="str">
        <f>IF(C198="","",JsProcess("JsonItem",JsProcess("JsonItem",Q198,"Passed"),"count"))</f>
        <v/>
      </c>
      <c r="S198" s="10" t="str">
        <f>IF(C198="","",JsProcess("JsonItem",JsProcess("JsonItem",Q198,"NotExecuted"),"count"))</f>
        <v/>
      </c>
    </row>
    <row r="199" spans="4:19" x14ac:dyDescent="0.25">
      <c r="D199" t="str">
        <f>IF(C199="","",VLOOKUP(A199,Projects!A:B,2,FALSE))</f>
        <v/>
      </c>
      <c r="E199" s="1" t="str">
        <f t="shared" si="30"/>
        <v/>
      </c>
      <c r="F199" t="str">
        <f t="shared" si="31"/>
        <v/>
      </c>
      <c r="G199" t="str">
        <f>IF(C199="","",ProcessUrl(E199,F199))</f>
        <v/>
      </c>
      <c r="H199" t="str">
        <f t="shared" si="32"/>
        <v/>
      </c>
      <c r="I199" t="str">
        <f t="shared" si="33"/>
        <v/>
      </c>
      <c r="J199" t="str">
        <f>IF(C199="","",ProcessUrl(H199,I199))</f>
        <v/>
      </c>
      <c r="K199" s="7" t="str">
        <f t="shared" si="34"/>
        <v/>
      </c>
      <c r="L199" s="7" t="str">
        <f t="shared" si="35"/>
        <v/>
      </c>
      <c r="M199" s="7" t="str">
        <f t="shared" si="36"/>
        <v/>
      </c>
      <c r="N199" s="7" t="str">
        <f t="shared" si="37"/>
        <v/>
      </c>
      <c r="O199" s="7" t="str">
        <f t="shared" si="38"/>
        <v/>
      </c>
      <c r="P199" t="str">
        <f t="shared" si="39"/>
        <v/>
      </c>
      <c r="Q199" t="str">
        <f>IF(C199="","",ProcessUrl(P199,"GetTestResults"))</f>
        <v/>
      </c>
      <c r="R199" s="10" t="str">
        <f>IF(C199="","",JsProcess("JsonItem",JsProcess("JsonItem",Q199,"Passed"),"count"))</f>
        <v/>
      </c>
      <c r="S199" s="10" t="str">
        <f>IF(C199="","",JsProcess("JsonItem",JsProcess("JsonItem",Q199,"NotExecuted"),"count"))</f>
        <v/>
      </c>
    </row>
    <row r="200" spans="4:19" x14ac:dyDescent="0.25">
      <c r="D200" t="str">
        <f>IF(C200="","",VLOOKUP(A200,Projects!A:B,2,FALSE))</f>
        <v/>
      </c>
      <c r="E200" s="1" t="str">
        <f t="shared" si="30"/>
        <v/>
      </c>
      <c r="F200" t="str">
        <f t="shared" si="31"/>
        <v/>
      </c>
      <c r="G200" t="str">
        <f>IF(C200="","",ProcessUrl(E200,F200))</f>
        <v/>
      </c>
      <c r="H200" t="str">
        <f t="shared" si="32"/>
        <v/>
      </c>
      <c r="I200" t="str">
        <f t="shared" si="33"/>
        <v/>
      </c>
      <c r="J200" t="str">
        <f>IF(C200="","",ProcessUrl(H200,I200))</f>
        <v/>
      </c>
      <c r="K200" s="7" t="str">
        <f t="shared" si="34"/>
        <v/>
      </c>
      <c r="L200" s="7" t="str">
        <f t="shared" si="35"/>
        <v/>
      </c>
      <c r="M200" s="7" t="str">
        <f t="shared" si="36"/>
        <v/>
      </c>
      <c r="N200" s="7" t="str">
        <f t="shared" si="37"/>
        <v/>
      </c>
      <c r="O200" s="7" t="str">
        <f t="shared" si="38"/>
        <v/>
      </c>
      <c r="P200" t="str">
        <f t="shared" si="39"/>
        <v/>
      </c>
      <c r="Q200" t="str">
        <f>IF(C200="","",ProcessUrl(P200,"GetTestResults"))</f>
        <v/>
      </c>
      <c r="R200" s="10" t="str">
        <f>IF(C200="","",JsProcess("JsonItem",JsProcess("JsonItem",Q200,"Passed"),"count"))</f>
        <v/>
      </c>
      <c r="S200" s="10" t="str">
        <f>IF(C200="","",JsProcess("JsonItem",JsProcess("JsonItem",Q200,"NotExecuted"),"count"))</f>
        <v/>
      </c>
    </row>
    <row r="201" spans="4:19" x14ac:dyDescent="0.25">
      <c r="D201" t="str">
        <f>IF(C201="","",VLOOKUP(A201,Projects!A:B,2,FALSE))</f>
        <v/>
      </c>
      <c r="E201" s="1" t="str">
        <f t="shared" si="30"/>
        <v/>
      </c>
      <c r="F201" t="str">
        <f t="shared" si="31"/>
        <v/>
      </c>
      <c r="G201" t="str">
        <f>IF(C201="","",ProcessUrl(E201,F201))</f>
        <v/>
      </c>
      <c r="H201" t="str">
        <f t="shared" si="32"/>
        <v/>
      </c>
      <c r="I201" t="str">
        <f t="shared" si="33"/>
        <v/>
      </c>
      <c r="J201" t="str">
        <f>IF(C201="","",ProcessUrl(H201,I201))</f>
        <v/>
      </c>
      <c r="K201" s="7" t="str">
        <f t="shared" si="34"/>
        <v/>
      </c>
      <c r="L201" s="7" t="str">
        <f t="shared" si="35"/>
        <v/>
      </c>
      <c r="M201" s="7" t="str">
        <f t="shared" si="36"/>
        <v/>
      </c>
      <c r="N201" s="7" t="str">
        <f t="shared" si="37"/>
        <v/>
      </c>
      <c r="O201" s="7" t="str">
        <f t="shared" si="38"/>
        <v/>
      </c>
      <c r="P201" t="str">
        <f t="shared" si="39"/>
        <v/>
      </c>
      <c r="Q201" t="str">
        <f>IF(C201="","",ProcessUrl(P201,"GetTestResults"))</f>
        <v/>
      </c>
      <c r="R201" s="10" t="str">
        <f>IF(C201="","",JsProcess("JsonItem",JsProcess("JsonItem",Q201,"Passed"),"count"))</f>
        <v/>
      </c>
      <c r="S201" s="10" t="str">
        <f>IF(C201="","",JsProcess("JsonItem",JsProcess("JsonItem",Q201,"NotExecuted"),"count"))</f>
        <v/>
      </c>
    </row>
    <row r="202" spans="4:19" x14ac:dyDescent="0.25">
      <c r="D202" t="str">
        <f>IF(C202="","",VLOOKUP(A202,Projects!A:B,2,FALSE))</f>
        <v/>
      </c>
      <c r="E202" s="1" t="str">
        <f t="shared" si="30"/>
        <v/>
      </c>
      <c r="F202" t="str">
        <f t="shared" si="31"/>
        <v/>
      </c>
      <c r="G202" t="str">
        <f>IF(C202="","",ProcessUrl(E202,F202))</f>
        <v/>
      </c>
      <c r="H202" t="str">
        <f t="shared" si="32"/>
        <v/>
      </c>
      <c r="I202" t="str">
        <f t="shared" si="33"/>
        <v/>
      </c>
      <c r="J202" t="str">
        <f>IF(C202="","",ProcessUrl(H202,I202))</f>
        <v/>
      </c>
      <c r="K202" s="7" t="str">
        <f t="shared" si="34"/>
        <v/>
      </c>
      <c r="L202" s="7" t="str">
        <f t="shared" si="35"/>
        <v/>
      </c>
      <c r="M202" s="7" t="str">
        <f t="shared" si="36"/>
        <v/>
      </c>
      <c r="N202" s="7" t="str">
        <f t="shared" si="37"/>
        <v/>
      </c>
      <c r="O202" s="7" t="str">
        <f t="shared" si="38"/>
        <v/>
      </c>
      <c r="P202" t="str">
        <f t="shared" si="39"/>
        <v/>
      </c>
      <c r="Q202" t="str">
        <f>IF(C202="","",ProcessUrl(P202,"GetTestResults"))</f>
        <v/>
      </c>
      <c r="R202" s="10" t="str">
        <f>IF(C202="","",JsProcess("JsonItem",JsProcess("JsonItem",Q202,"Passed"),"count"))</f>
        <v/>
      </c>
      <c r="S202" s="10" t="str">
        <f>IF(C202="","",JsProcess("JsonItem",JsProcess("JsonItem",Q202,"NotExecuted"),"count"))</f>
        <v/>
      </c>
    </row>
    <row r="203" spans="4:19" x14ac:dyDescent="0.25">
      <c r="D203" t="str">
        <f>IF(C203="","",VLOOKUP(A203,Projects!A:B,2,FALSE))</f>
        <v/>
      </c>
      <c r="E203" s="1" t="str">
        <f t="shared" si="30"/>
        <v/>
      </c>
      <c r="F203" t="str">
        <f t="shared" si="31"/>
        <v/>
      </c>
      <c r="G203" t="str">
        <f>IF(C203="","",ProcessUrl(E203,F203))</f>
        <v/>
      </c>
      <c r="H203" t="str">
        <f t="shared" si="32"/>
        <v/>
      </c>
      <c r="I203" t="str">
        <f t="shared" si="33"/>
        <v/>
      </c>
      <c r="J203" t="str">
        <f>IF(C203="","",ProcessUrl(H203,I203))</f>
        <v/>
      </c>
      <c r="K203" s="7" t="str">
        <f t="shared" si="34"/>
        <v/>
      </c>
      <c r="L203" s="7" t="str">
        <f t="shared" si="35"/>
        <v/>
      </c>
      <c r="M203" s="7" t="str">
        <f t="shared" si="36"/>
        <v/>
      </c>
      <c r="N203" s="7" t="str">
        <f t="shared" si="37"/>
        <v/>
      </c>
      <c r="O203" s="7" t="str">
        <f t="shared" si="38"/>
        <v/>
      </c>
      <c r="P203" t="str">
        <f t="shared" si="39"/>
        <v/>
      </c>
      <c r="Q203" t="str">
        <f>IF(C203="","",ProcessUrl(P203,"GetTestResults"))</f>
        <v/>
      </c>
      <c r="R203" s="10" t="str">
        <f>IF(C203="","",JsProcess("JsonItem",JsProcess("JsonItem",Q203,"Passed"),"count"))</f>
        <v/>
      </c>
      <c r="S203" s="10" t="str">
        <f>IF(C203="","",JsProcess("JsonItem",JsProcess("JsonItem",Q203,"NotExecuted"),"count"))</f>
        <v/>
      </c>
    </row>
    <row r="204" spans="4:19" x14ac:dyDescent="0.25">
      <c r="D204" t="str">
        <f>IF(C204="","",VLOOKUP(A204,Projects!A:B,2,FALSE))</f>
        <v/>
      </c>
      <c r="E204" s="1" t="str">
        <f t="shared" si="30"/>
        <v/>
      </c>
      <c r="F204" t="str">
        <f t="shared" si="31"/>
        <v/>
      </c>
      <c r="G204" t="str">
        <f>IF(C204="","",ProcessUrl(E204,F204))</f>
        <v/>
      </c>
      <c r="H204" t="str">
        <f t="shared" si="32"/>
        <v/>
      </c>
      <c r="I204" t="str">
        <f t="shared" si="33"/>
        <v/>
      </c>
      <c r="J204" t="str">
        <f>IF(C204="","",ProcessUrl(H204,I204))</f>
        <v/>
      </c>
      <c r="K204" s="7" t="str">
        <f t="shared" si="34"/>
        <v/>
      </c>
      <c r="L204" s="7" t="str">
        <f t="shared" si="35"/>
        <v/>
      </c>
      <c r="M204" s="7" t="str">
        <f t="shared" si="36"/>
        <v/>
      </c>
      <c r="N204" s="7" t="str">
        <f t="shared" si="37"/>
        <v/>
      </c>
      <c r="O204" s="7" t="str">
        <f t="shared" si="38"/>
        <v/>
      </c>
      <c r="P204" t="str">
        <f t="shared" si="39"/>
        <v/>
      </c>
      <c r="Q204" t="str">
        <f>IF(C204="","",ProcessUrl(P204,"GetTestResults"))</f>
        <v/>
      </c>
      <c r="R204" s="10" t="str">
        <f>IF(C204="","",JsProcess("JsonItem",JsProcess("JsonItem",Q204,"Passed"),"count"))</f>
        <v/>
      </c>
      <c r="S204" s="10" t="str">
        <f>IF(C204="","",JsProcess("JsonItem",JsProcess("JsonItem",Q204,"NotExecuted"),"count"))</f>
        <v/>
      </c>
    </row>
    <row r="205" spans="4:19" x14ac:dyDescent="0.25">
      <c r="D205" t="str">
        <f>IF(C205="","",VLOOKUP(A205,Projects!A:B,2,FALSE))</f>
        <v/>
      </c>
      <c r="E205" s="1" t="str">
        <f t="shared" si="30"/>
        <v/>
      </c>
      <c r="F205" t="str">
        <f t="shared" si="31"/>
        <v/>
      </c>
      <c r="G205" t="str">
        <f>IF(C205="","",ProcessUrl(E205,F205))</f>
        <v/>
      </c>
      <c r="H205" t="str">
        <f t="shared" si="32"/>
        <v/>
      </c>
      <c r="I205" t="str">
        <f t="shared" si="33"/>
        <v/>
      </c>
      <c r="J205" t="str">
        <f>IF(C205="","",ProcessUrl(H205,I205))</f>
        <v/>
      </c>
      <c r="K205" s="7" t="str">
        <f t="shared" si="34"/>
        <v/>
      </c>
      <c r="L205" s="7" t="str">
        <f t="shared" si="35"/>
        <v/>
      </c>
      <c r="M205" s="7" t="str">
        <f t="shared" si="36"/>
        <v/>
      </c>
      <c r="N205" s="7" t="str">
        <f t="shared" si="37"/>
        <v/>
      </c>
      <c r="O205" s="7" t="str">
        <f t="shared" si="38"/>
        <v/>
      </c>
      <c r="P205" t="str">
        <f t="shared" si="39"/>
        <v/>
      </c>
      <c r="Q205" t="str">
        <f>IF(C205="","",ProcessUrl(P205,"GetTestResults"))</f>
        <v/>
      </c>
      <c r="R205" s="10" t="str">
        <f>IF(C205="","",JsProcess("JsonItem",JsProcess("JsonItem",Q205,"Passed"),"count"))</f>
        <v/>
      </c>
      <c r="S205" s="10" t="str">
        <f>IF(C205="","",JsProcess("JsonItem",JsProcess("JsonItem",Q205,"NotExecuted"),"count"))</f>
        <v/>
      </c>
    </row>
    <row r="206" spans="4:19" x14ac:dyDescent="0.25">
      <c r="D206" t="str">
        <f>IF(C206="","",VLOOKUP(A206,Projects!A:B,2,FALSE))</f>
        <v/>
      </c>
      <c r="E206" s="1" t="str">
        <f t="shared" si="30"/>
        <v/>
      </c>
      <c r="F206" t="str">
        <f t="shared" si="31"/>
        <v/>
      </c>
      <c r="G206" t="str">
        <f>IF(C206="","",ProcessUrl(E206,F206))</f>
        <v/>
      </c>
      <c r="H206" t="str">
        <f t="shared" si="32"/>
        <v/>
      </c>
      <c r="I206" t="str">
        <f t="shared" si="33"/>
        <v/>
      </c>
      <c r="J206" t="str">
        <f>IF(C206="","",ProcessUrl(H206,I206))</f>
        <v/>
      </c>
      <c r="K206" s="7" t="str">
        <f t="shared" si="34"/>
        <v/>
      </c>
      <c r="L206" s="7" t="str">
        <f t="shared" si="35"/>
        <v/>
      </c>
      <c r="M206" s="7" t="str">
        <f t="shared" si="36"/>
        <v/>
      </c>
      <c r="N206" s="7" t="str">
        <f t="shared" si="37"/>
        <v/>
      </c>
      <c r="O206" s="7" t="str">
        <f t="shared" si="38"/>
        <v/>
      </c>
      <c r="P206" t="str">
        <f t="shared" si="39"/>
        <v/>
      </c>
      <c r="Q206" t="str">
        <f>IF(C206="","",ProcessUrl(P206,"GetTestResults"))</f>
        <v/>
      </c>
      <c r="R206" s="10" t="str">
        <f>IF(C206="","",JsProcess("JsonItem",JsProcess("JsonItem",Q206,"Passed"),"count"))</f>
        <v/>
      </c>
      <c r="S206" s="10" t="str">
        <f>IF(C206="","",JsProcess("JsonItem",JsProcess("JsonItem",Q206,"NotExecuted"),"count"))</f>
        <v/>
      </c>
    </row>
    <row r="207" spans="4:19" x14ac:dyDescent="0.25">
      <c r="D207" t="str">
        <f>IF(C207="","",VLOOKUP(A207,Projects!A:B,2,FALSE))</f>
        <v/>
      </c>
      <c r="E207" s="1" t="str">
        <f t="shared" si="30"/>
        <v/>
      </c>
      <c r="F207" t="str">
        <f t="shared" si="31"/>
        <v/>
      </c>
      <c r="G207" t="str">
        <f>IF(C207="","",ProcessUrl(E207,F207))</f>
        <v/>
      </c>
      <c r="H207" t="str">
        <f t="shared" si="32"/>
        <v/>
      </c>
      <c r="I207" t="str">
        <f t="shared" si="33"/>
        <v/>
      </c>
      <c r="J207" t="str">
        <f>IF(C207="","",ProcessUrl(H207,I207))</f>
        <v/>
      </c>
      <c r="K207" s="7" t="str">
        <f t="shared" si="34"/>
        <v/>
      </c>
      <c r="L207" s="7" t="str">
        <f t="shared" si="35"/>
        <v/>
      </c>
      <c r="M207" s="7" t="str">
        <f t="shared" si="36"/>
        <v/>
      </c>
      <c r="N207" s="7" t="str">
        <f t="shared" si="37"/>
        <v/>
      </c>
      <c r="O207" s="7" t="str">
        <f t="shared" si="38"/>
        <v/>
      </c>
      <c r="P207" t="str">
        <f t="shared" si="39"/>
        <v/>
      </c>
      <c r="Q207" t="str">
        <f>IF(C207="","",ProcessUrl(P207,"GetTestResults"))</f>
        <v/>
      </c>
      <c r="R207" s="10" t="str">
        <f>IF(C207="","",JsProcess("JsonItem",JsProcess("JsonItem",Q207,"Passed"),"count"))</f>
        <v/>
      </c>
      <c r="S207" s="10" t="str">
        <f>IF(C207="","",JsProcess("JsonItem",JsProcess("JsonItem",Q207,"NotExecuted"),"count"))</f>
        <v/>
      </c>
    </row>
    <row r="208" spans="4:19" x14ac:dyDescent="0.25">
      <c r="D208" t="str">
        <f>IF(C208="","",VLOOKUP(A208,Projects!A:B,2,FALSE))</f>
        <v/>
      </c>
      <c r="E208" s="1" t="str">
        <f t="shared" si="30"/>
        <v/>
      </c>
      <c r="F208" t="str">
        <f t="shared" si="31"/>
        <v/>
      </c>
      <c r="G208" t="str">
        <f>IF(C208="","",ProcessUrl(E208,F208))</f>
        <v/>
      </c>
      <c r="H208" t="str">
        <f t="shared" si="32"/>
        <v/>
      </c>
      <c r="I208" t="str">
        <f t="shared" si="33"/>
        <v/>
      </c>
      <c r="J208" t="str">
        <f>IF(C208="","",ProcessUrl(H208,I208))</f>
        <v/>
      </c>
      <c r="K208" s="7" t="str">
        <f t="shared" si="34"/>
        <v/>
      </c>
      <c r="L208" s="7" t="str">
        <f t="shared" si="35"/>
        <v/>
      </c>
      <c r="M208" s="7" t="str">
        <f t="shared" si="36"/>
        <v/>
      </c>
      <c r="N208" s="7" t="str">
        <f t="shared" si="37"/>
        <v/>
      </c>
      <c r="O208" s="7" t="str">
        <f t="shared" si="38"/>
        <v/>
      </c>
      <c r="P208" t="str">
        <f t="shared" si="39"/>
        <v/>
      </c>
      <c r="Q208" t="str">
        <f>IF(C208="","",ProcessUrl(P208,"GetTestResults"))</f>
        <v/>
      </c>
      <c r="R208" s="10" t="str">
        <f>IF(C208="","",JsProcess("JsonItem",JsProcess("JsonItem",Q208,"Passed"),"count"))</f>
        <v/>
      </c>
      <c r="S208" s="10" t="str">
        <f>IF(C208="","",JsProcess("JsonItem",JsProcess("JsonItem",Q208,"NotExecuted"),"count"))</f>
        <v/>
      </c>
    </row>
    <row r="209" spans="4:19" x14ac:dyDescent="0.25">
      <c r="D209" t="str">
        <f>IF(C209="","",VLOOKUP(A209,Projects!A:B,2,FALSE))</f>
        <v/>
      </c>
      <c r="E209" s="1" t="str">
        <f t="shared" si="30"/>
        <v/>
      </c>
      <c r="F209" t="str">
        <f t="shared" si="31"/>
        <v/>
      </c>
      <c r="G209" t="str">
        <f>IF(C209="","",ProcessUrl(E209,F209))</f>
        <v/>
      </c>
      <c r="H209" t="str">
        <f t="shared" si="32"/>
        <v/>
      </c>
      <c r="I209" t="str">
        <f t="shared" si="33"/>
        <v/>
      </c>
      <c r="J209" t="str">
        <f>IF(C209="","",ProcessUrl(H209,I209))</f>
        <v/>
      </c>
      <c r="K209" s="7" t="str">
        <f t="shared" si="34"/>
        <v/>
      </c>
      <c r="L209" s="7" t="str">
        <f t="shared" si="35"/>
        <v/>
      </c>
      <c r="M209" s="7" t="str">
        <f t="shared" si="36"/>
        <v/>
      </c>
      <c r="N209" s="7" t="str">
        <f t="shared" si="37"/>
        <v/>
      </c>
      <c r="O209" s="7" t="str">
        <f t="shared" si="38"/>
        <v/>
      </c>
      <c r="P209" t="str">
        <f t="shared" si="39"/>
        <v/>
      </c>
      <c r="Q209" t="str">
        <f>IF(C209="","",ProcessUrl(P209,"GetTestResults"))</f>
        <v/>
      </c>
      <c r="R209" s="10" t="str">
        <f>IF(C209="","",JsProcess("JsonItem",JsProcess("JsonItem",Q209,"Passed"),"count"))</f>
        <v/>
      </c>
      <c r="S209" s="10" t="str">
        <f>IF(C209="","",JsProcess("JsonItem",JsProcess("JsonItem",Q209,"NotExecuted"),"count"))</f>
        <v/>
      </c>
    </row>
    <row r="210" spans="4:19" x14ac:dyDescent="0.25">
      <c r="D210" t="str">
        <f>IF(C210="","",VLOOKUP(A210,Projects!A:B,2,FALSE))</f>
        <v/>
      </c>
      <c r="E210" s="1" t="str">
        <f t="shared" si="30"/>
        <v/>
      </c>
      <c r="F210" t="str">
        <f t="shared" si="31"/>
        <v/>
      </c>
      <c r="G210" t="str">
        <f>IF(C210="","",ProcessUrl(E210,F210))</f>
        <v/>
      </c>
      <c r="H210" t="str">
        <f t="shared" si="32"/>
        <v/>
      </c>
      <c r="I210" t="str">
        <f t="shared" si="33"/>
        <v/>
      </c>
      <c r="J210" t="str">
        <f>IF(C210="","",ProcessUrl(H210,I210))</f>
        <v/>
      </c>
      <c r="K210" s="7" t="str">
        <f t="shared" si="34"/>
        <v/>
      </c>
      <c r="L210" s="7" t="str">
        <f t="shared" si="35"/>
        <v/>
      </c>
      <c r="M210" s="7" t="str">
        <f t="shared" si="36"/>
        <v/>
      </c>
      <c r="N210" s="7" t="str">
        <f t="shared" si="37"/>
        <v/>
      </c>
      <c r="O210" s="7" t="str">
        <f t="shared" si="38"/>
        <v/>
      </c>
      <c r="P210" t="str">
        <f t="shared" si="39"/>
        <v/>
      </c>
      <c r="Q210" t="str">
        <f>IF(C210="","",ProcessUrl(P210,"GetTestResults"))</f>
        <v/>
      </c>
      <c r="R210" s="10" t="str">
        <f>IF(C210="","",JsProcess("JsonItem",JsProcess("JsonItem",Q210,"Passed"),"count"))</f>
        <v/>
      </c>
      <c r="S210" s="10" t="str">
        <f>IF(C210="","",JsProcess("JsonItem",JsProcess("JsonItem",Q210,"NotExecuted"),"count"))</f>
        <v/>
      </c>
    </row>
    <row r="211" spans="4:19" x14ac:dyDescent="0.25">
      <c r="D211" t="str">
        <f>IF(C211="","",VLOOKUP(A211,Projects!A:B,2,FALSE))</f>
        <v/>
      </c>
      <c r="E211" s="1" t="str">
        <f t="shared" si="30"/>
        <v/>
      </c>
      <c r="F211" t="str">
        <f t="shared" si="31"/>
        <v/>
      </c>
      <c r="G211" t="str">
        <f>IF(C211="","",ProcessUrl(E211,F211))</f>
        <v/>
      </c>
      <c r="H211" t="str">
        <f t="shared" si="32"/>
        <v/>
      </c>
      <c r="I211" t="str">
        <f t="shared" si="33"/>
        <v/>
      </c>
      <c r="J211" t="str">
        <f>IF(C211="","",ProcessUrl(H211,I211))</f>
        <v/>
      </c>
      <c r="K211" s="7" t="str">
        <f t="shared" si="34"/>
        <v/>
      </c>
      <c r="L211" s="7" t="str">
        <f t="shared" si="35"/>
        <v/>
      </c>
      <c r="M211" s="7" t="str">
        <f t="shared" si="36"/>
        <v/>
      </c>
      <c r="N211" s="7" t="str">
        <f t="shared" si="37"/>
        <v/>
      </c>
      <c r="O211" s="7" t="str">
        <f t="shared" si="38"/>
        <v/>
      </c>
      <c r="P211" t="str">
        <f t="shared" si="39"/>
        <v/>
      </c>
      <c r="Q211" t="str">
        <f>IF(C211="","",ProcessUrl(P211,"GetTestResults"))</f>
        <v/>
      </c>
      <c r="R211" s="10" t="str">
        <f>IF(C211="","",JsProcess("JsonItem",JsProcess("JsonItem",Q211,"Passed"),"count"))</f>
        <v/>
      </c>
      <c r="S211" s="10" t="str">
        <f>IF(C211="","",JsProcess("JsonItem",JsProcess("JsonItem",Q211,"NotExecuted"),"count"))</f>
        <v/>
      </c>
    </row>
    <row r="212" spans="4:19" x14ac:dyDescent="0.25">
      <c r="D212" t="str">
        <f>IF(C212="","",VLOOKUP(A212,Projects!A:B,2,FALSE))</f>
        <v/>
      </c>
      <c r="E212" s="1" t="str">
        <f t="shared" si="30"/>
        <v/>
      </c>
      <c r="F212" t="str">
        <f t="shared" si="31"/>
        <v/>
      </c>
      <c r="G212" t="str">
        <f>IF(C212="","",ProcessUrl(E212,F212))</f>
        <v/>
      </c>
      <c r="H212" t="str">
        <f t="shared" si="32"/>
        <v/>
      </c>
      <c r="I212" t="str">
        <f t="shared" si="33"/>
        <v/>
      </c>
      <c r="J212" t="str">
        <f>IF(C212="","",ProcessUrl(H212,I212))</f>
        <v/>
      </c>
      <c r="K212" s="7" t="str">
        <f t="shared" si="34"/>
        <v/>
      </c>
      <c r="L212" s="7" t="str">
        <f t="shared" si="35"/>
        <v/>
      </c>
      <c r="M212" s="7" t="str">
        <f t="shared" si="36"/>
        <v/>
      </c>
      <c r="N212" s="7" t="str">
        <f t="shared" si="37"/>
        <v/>
      </c>
      <c r="O212" s="7" t="str">
        <f t="shared" si="38"/>
        <v/>
      </c>
      <c r="P212" t="str">
        <f t="shared" si="39"/>
        <v/>
      </c>
      <c r="Q212" t="str">
        <f>IF(C212="","",ProcessUrl(P212,"GetTestResults"))</f>
        <v/>
      </c>
      <c r="R212" s="10" t="str">
        <f>IF(C212="","",JsProcess("JsonItem",JsProcess("JsonItem",Q212,"Passed"),"count"))</f>
        <v/>
      </c>
      <c r="S212" s="10" t="str">
        <f>IF(C212="","",JsProcess("JsonItem",JsProcess("JsonItem",Q212,"NotExecuted"),"count"))</f>
        <v/>
      </c>
    </row>
    <row r="213" spans="4:19" x14ac:dyDescent="0.25">
      <c r="D213" t="str">
        <f>IF(C213="","",VLOOKUP(A213,Projects!A:B,2,FALSE))</f>
        <v/>
      </c>
      <c r="E213" s="1" t="str">
        <f t="shared" si="30"/>
        <v/>
      </c>
      <c r="F213" t="str">
        <f t="shared" si="31"/>
        <v/>
      </c>
      <c r="G213" t="str">
        <f>IF(C213="","",ProcessUrl(E213,F213))</f>
        <v/>
      </c>
      <c r="H213" t="str">
        <f t="shared" si="32"/>
        <v/>
      </c>
      <c r="I213" t="str">
        <f t="shared" si="33"/>
        <v/>
      </c>
      <c r="J213" t="str">
        <f>IF(C213="","",ProcessUrl(H213,I213))</f>
        <v/>
      </c>
      <c r="K213" s="7" t="str">
        <f t="shared" si="34"/>
        <v/>
      </c>
      <c r="L213" s="7" t="str">
        <f t="shared" si="35"/>
        <v/>
      </c>
      <c r="M213" s="7" t="str">
        <f t="shared" si="36"/>
        <v/>
      </c>
      <c r="N213" s="7" t="str">
        <f t="shared" si="37"/>
        <v/>
      </c>
      <c r="O213" s="7" t="str">
        <f t="shared" si="38"/>
        <v/>
      </c>
      <c r="P213" t="str">
        <f t="shared" si="39"/>
        <v/>
      </c>
      <c r="Q213" t="str">
        <f>IF(C213="","",ProcessUrl(P213,"GetTestResults"))</f>
        <v/>
      </c>
      <c r="R213" s="10" t="str">
        <f>IF(C213="","",JsProcess("JsonItem",JsProcess("JsonItem",Q213,"Passed"),"count"))</f>
        <v/>
      </c>
      <c r="S213" s="10" t="str">
        <f>IF(C213="","",JsProcess("JsonItem",JsProcess("JsonItem",Q213,"NotExecuted"),"count"))</f>
        <v/>
      </c>
    </row>
    <row r="214" spans="4:19" x14ac:dyDescent="0.25">
      <c r="D214" t="str">
        <f>IF(C214="","",VLOOKUP(A214,Projects!A:B,2,FALSE))</f>
        <v/>
      </c>
      <c r="E214" s="1" t="str">
        <f t="shared" si="30"/>
        <v/>
      </c>
      <c r="F214" t="str">
        <f t="shared" si="31"/>
        <v/>
      </c>
      <c r="G214" t="str">
        <f>IF(C214="","",ProcessUrl(E214,F214))</f>
        <v/>
      </c>
      <c r="H214" t="str">
        <f t="shared" si="32"/>
        <v/>
      </c>
      <c r="I214" t="str">
        <f t="shared" si="33"/>
        <v/>
      </c>
      <c r="J214" t="str">
        <f>IF(C214="","",ProcessUrl(H214,I214))</f>
        <v/>
      </c>
      <c r="K214" s="7" t="str">
        <f t="shared" si="34"/>
        <v/>
      </c>
      <c r="L214" s="7" t="str">
        <f t="shared" si="35"/>
        <v/>
      </c>
      <c r="M214" s="7" t="str">
        <f t="shared" si="36"/>
        <v/>
      </c>
      <c r="N214" s="7" t="str">
        <f t="shared" si="37"/>
        <v/>
      </c>
      <c r="O214" s="7" t="str">
        <f t="shared" si="38"/>
        <v/>
      </c>
      <c r="P214" t="str">
        <f t="shared" si="39"/>
        <v/>
      </c>
      <c r="Q214" t="str">
        <f>IF(C214="","",ProcessUrl(P214,"GetTestResults"))</f>
        <v/>
      </c>
      <c r="R214" s="10" t="str">
        <f>IF(C214="","",JsProcess("JsonItem",JsProcess("JsonItem",Q214,"Passed"),"count"))</f>
        <v/>
      </c>
      <c r="S214" s="10" t="str">
        <f>IF(C214="","",JsProcess("JsonItem",JsProcess("JsonItem",Q214,"NotExecuted"),"count"))</f>
        <v/>
      </c>
    </row>
    <row r="215" spans="4:19" x14ac:dyDescent="0.25">
      <c r="D215" t="str">
        <f>IF(C215="","",VLOOKUP(A215,Projects!A:B,2,FALSE))</f>
        <v/>
      </c>
      <c r="E215" s="1" t="str">
        <f t="shared" si="30"/>
        <v/>
      </c>
      <c r="F215" t="str">
        <f t="shared" si="31"/>
        <v/>
      </c>
      <c r="G215" t="str">
        <f>IF(C215="","",ProcessUrl(E215,F215))</f>
        <v/>
      </c>
      <c r="H215" t="str">
        <f t="shared" si="32"/>
        <v/>
      </c>
      <c r="I215" t="str">
        <f t="shared" si="33"/>
        <v/>
      </c>
      <c r="J215" t="str">
        <f>IF(C215="","",ProcessUrl(H215,I215))</f>
        <v/>
      </c>
      <c r="K215" s="7" t="str">
        <f t="shared" si="34"/>
        <v/>
      </c>
      <c r="L215" s="7" t="str">
        <f t="shared" si="35"/>
        <v/>
      </c>
      <c r="M215" s="7" t="str">
        <f t="shared" si="36"/>
        <v/>
      </c>
      <c r="N215" s="7" t="str">
        <f t="shared" si="37"/>
        <v/>
      </c>
      <c r="O215" s="7" t="str">
        <f t="shared" si="38"/>
        <v/>
      </c>
      <c r="P215" t="str">
        <f t="shared" si="39"/>
        <v/>
      </c>
      <c r="Q215" t="str">
        <f>IF(C215="","",ProcessUrl(P215,"GetTestResults"))</f>
        <v/>
      </c>
      <c r="R215" s="10" t="str">
        <f>IF(C215="","",JsProcess("JsonItem",JsProcess("JsonItem",Q215,"Passed"),"count"))</f>
        <v/>
      </c>
      <c r="S215" s="10" t="str">
        <f>IF(C215="","",JsProcess("JsonItem",JsProcess("JsonItem",Q215,"NotExecuted"),"count"))</f>
        <v/>
      </c>
    </row>
    <row r="216" spans="4:19" x14ac:dyDescent="0.25">
      <c r="D216" t="str">
        <f>IF(C216="","",VLOOKUP(A216,Projects!A:B,2,FALSE))</f>
        <v/>
      </c>
      <c r="E216" s="1" t="str">
        <f t="shared" si="30"/>
        <v/>
      </c>
      <c r="F216" t="str">
        <f t="shared" si="31"/>
        <v/>
      </c>
      <c r="G216" t="str">
        <f>IF(C216="","",ProcessUrl(E216,F216))</f>
        <v/>
      </c>
      <c r="H216" t="str">
        <f t="shared" si="32"/>
        <v/>
      </c>
      <c r="I216" t="str">
        <f t="shared" si="33"/>
        <v/>
      </c>
      <c r="J216" t="str">
        <f>IF(C216="","",ProcessUrl(H216,I216))</f>
        <v/>
      </c>
      <c r="K216" s="7" t="str">
        <f t="shared" si="34"/>
        <v/>
      </c>
      <c r="L216" s="7" t="str">
        <f t="shared" si="35"/>
        <v/>
      </c>
      <c r="M216" s="7" t="str">
        <f t="shared" si="36"/>
        <v/>
      </c>
      <c r="N216" s="7" t="str">
        <f t="shared" si="37"/>
        <v/>
      </c>
      <c r="O216" s="7" t="str">
        <f t="shared" si="38"/>
        <v/>
      </c>
      <c r="P216" t="str">
        <f t="shared" si="39"/>
        <v/>
      </c>
      <c r="Q216" t="str">
        <f>IF(C216="","",ProcessUrl(P216,"GetTestResults"))</f>
        <v/>
      </c>
      <c r="R216" s="10" t="str">
        <f>IF(C216="","",JsProcess("JsonItem",JsProcess("JsonItem",Q216,"Passed"),"count"))</f>
        <v/>
      </c>
      <c r="S216" s="10" t="str">
        <f>IF(C216="","",JsProcess("JsonItem",JsProcess("JsonItem",Q216,"NotExecuted"),"count"))</f>
        <v/>
      </c>
    </row>
    <row r="217" spans="4:19" x14ac:dyDescent="0.25">
      <c r="D217" t="str">
        <f>IF(C217="","",VLOOKUP(A217,Projects!A:B,2,FALSE))</f>
        <v/>
      </c>
      <c r="E217" s="1" t="str">
        <f t="shared" si="30"/>
        <v/>
      </c>
      <c r="F217" t="str">
        <f t="shared" si="31"/>
        <v/>
      </c>
      <c r="G217" t="str">
        <f>IF(C217="","",ProcessUrl(E217,F217))</f>
        <v/>
      </c>
      <c r="H217" t="str">
        <f t="shared" si="32"/>
        <v/>
      </c>
      <c r="I217" t="str">
        <f t="shared" si="33"/>
        <v/>
      </c>
      <c r="J217" t="str">
        <f>IF(C217="","",ProcessUrl(H217,I217))</f>
        <v/>
      </c>
      <c r="K217" s="7" t="str">
        <f t="shared" si="34"/>
        <v/>
      </c>
      <c r="L217" s="7" t="str">
        <f t="shared" si="35"/>
        <v/>
      </c>
      <c r="M217" s="7" t="str">
        <f t="shared" si="36"/>
        <v/>
      </c>
      <c r="N217" s="7" t="str">
        <f t="shared" si="37"/>
        <v/>
      </c>
      <c r="O217" s="7" t="str">
        <f t="shared" si="38"/>
        <v/>
      </c>
      <c r="P217" t="str">
        <f t="shared" si="39"/>
        <v/>
      </c>
      <c r="Q217" t="str">
        <f>IF(C217="","",ProcessUrl(P217,"GetTestResults"))</f>
        <v/>
      </c>
      <c r="R217" s="10" t="str">
        <f>IF(C217="","",JsProcess("JsonItem",JsProcess("JsonItem",Q217,"Passed"),"count"))</f>
        <v/>
      </c>
      <c r="S217" s="10" t="str">
        <f>IF(C217="","",JsProcess("JsonItem",JsProcess("JsonItem",Q217,"NotExecuted"),"count"))</f>
        <v/>
      </c>
    </row>
    <row r="218" spans="4:19" x14ac:dyDescent="0.25">
      <c r="D218" t="str">
        <f>IF(C218="","",VLOOKUP(A218,Projects!A:B,2,FALSE))</f>
        <v/>
      </c>
      <c r="E218" s="1" t="str">
        <f t="shared" si="30"/>
        <v/>
      </c>
      <c r="F218" t="str">
        <f t="shared" si="31"/>
        <v/>
      </c>
      <c r="G218" t="str">
        <f>IF(C218="","",ProcessUrl(E218,F218))</f>
        <v/>
      </c>
      <c r="H218" t="str">
        <f t="shared" si="32"/>
        <v/>
      </c>
      <c r="I218" t="str">
        <f t="shared" si="33"/>
        <v/>
      </c>
      <c r="J218" t="str">
        <f>IF(C218="","",ProcessUrl(H218,I218))</f>
        <v/>
      </c>
      <c r="K218" s="7" t="str">
        <f t="shared" si="34"/>
        <v/>
      </c>
      <c r="L218" s="7" t="str">
        <f t="shared" si="35"/>
        <v/>
      </c>
      <c r="M218" s="7" t="str">
        <f t="shared" si="36"/>
        <v/>
      </c>
      <c r="N218" s="7" t="str">
        <f t="shared" si="37"/>
        <v/>
      </c>
      <c r="O218" s="7" t="str">
        <f t="shared" si="38"/>
        <v/>
      </c>
      <c r="P218" t="str">
        <f t="shared" si="39"/>
        <v/>
      </c>
      <c r="Q218" t="str">
        <f>IF(C218="","",ProcessUrl(P218,"GetTestResults"))</f>
        <v/>
      </c>
      <c r="R218" s="10" t="str">
        <f>IF(C218="","",JsProcess("JsonItem",JsProcess("JsonItem",Q218,"Passed"),"count"))</f>
        <v/>
      </c>
      <c r="S218" s="10" t="str">
        <f>IF(C218="","",JsProcess("JsonItem",JsProcess("JsonItem",Q218,"NotExecuted"),"count"))</f>
        <v/>
      </c>
    </row>
    <row r="219" spans="4:19" x14ac:dyDescent="0.25">
      <c r="D219" t="str">
        <f>IF(C219="","",VLOOKUP(A219,Projects!A:B,2,FALSE))</f>
        <v/>
      </c>
      <c r="E219" s="1" t="str">
        <f t="shared" si="30"/>
        <v/>
      </c>
      <c r="F219" t="str">
        <f t="shared" si="31"/>
        <v/>
      </c>
      <c r="G219" t="str">
        <f>IF(C219="","",ProcessUrl(E219,F219))</f>
        <v/>
      </c>
      <c r="H219" t="str">
        <f t="shared" si="32"/>
        <v/>
      </c>
      <c r="I219" t="str">
        <f t="shared" si="33"/>
        <v/>
      </c>
      <c r="J219" t="str">
        <f>IF(C219="","",ProcessUrl(H219,I219))</f>
        <v/>
      </c>
      <c r="K219" s="7" t="str">
        <f t="shared" si="34"/>
        <v/>
      </c>
      <c r="L219" s="7" t="str">
        <f t="shared" si="35"/>
        <v/>
      </c>
      <c r="M219" s="7" t="str">
        <f t="shared" si="36"/>
        <v/>
      </c>
      <c r="N219" s="7" t="str">
        <f t="shared" si="37"/>
        <v/>
      </c>
      <c r="O219" s="7" t="str">
        <f t="shared" si="38"/>
        <v/>
      </c>
      <c r="P219" t="str">
        <f t="shared" si="39"/>
        <v/>
      </c>
      <c r="Q219" t="str">
        <f>IF(C219="","",ProcessUrl(P219,"GetTestResults"))</f>
        <v/>
      </c>
      <c r="R219" s="10" t="str">
        <f>IF(C219="","",JsProcess("JsonItem",JsProcess("JsonItem",Q219,"Passed"),"count"))</f>
        <v/>
      </c>
      <c r="S219" s="10" t="str">
        <f>IF(C219="","",JsProcess("JsonItem",JsProcess("JsonItem",Q219,"NotExecuted"),"count"))</f>
        <v/>
      </c>
    </row>
    <row r="220" spans="4:19" x14ac:dyDescent="0.25">
      <c r="D220" t="str">
        <f>IF(C220="","",VLOOKUP(A220,Projects!A:B,2,FALSE))</f>
        <v/>
      </c>
      <c r="E220" s="1" t="str">
        <f t="shared" si="30"/>
        <v/>
      </c>
      <c r="F220" t="str">
        <f t="shared" si="31"/>
        <v/>
      </c>
      <c r="G220" t="str">
        <f>IF(C220="","",ProcessUrl(E220,F220))</f>
        <v/>
      </c>
      <c r="H220" t="str">
        <f t="shared" si="32"/>
        <v/>
      </c>
      <c r="I220" t="str">
        <f t="shared" si="33"/>
        <v/>
      </c>
      <c r="J220" t="str">
        <f>IF(C220="","",ProcessUrl(H220,I220))</f>
        <v/>
      </c>
      <c r="K220" s="7" t="str">
        <f t="shared" si="34"/>
        <v/>
      </c>
      <c r="L220" s="7" t="str">
        <f t="shared" si="35"/>
        <v/>
      </c>
      <c r="M220" s="7" t="str">
        <f t="shared" si="36"/>
        <v/>
      </c>
      <c r="N220" s="7" t="str">
        <f t="shared" si="37"/>
        <v/>
      </c>
      <c r="O220" s="7" t="str">
        <f t="shared" si="38"/>
        <v/>
      </c>
      <c r="P220" t="str">
        <f t="shared" si="39"/>
        <v/>
      </c>
      <c r="Q220" t="str">
        <f>IF(C220="","",ProcessUrl(P220,"GetTestResults"))</f>
        <v/>
      </c>
      <c r="R220" s="10" t="str">
        <f>IF(C220="","",JsProcess("JsonItem",JsProcess("JsonItem",Q220,"Passed"),"count"))</f>
        <v/>
      </c>
      <c r="S220" s="10" t="str">
        <f>IF(C220="","",JsProcess("JsonItem",JsProcess("JsonItem",Q220,"NotExecuted"),"count"))</f>
        <v/>
      </c>
    </row>
    <row r="221" spans="4:19" x14ac:dyDescent="0.25">
      <c r="D221" t="str">
        <f>IF(C221="","",VLOOKUP(A221,Projects!A:B,2,FALSE))</f>
        <v/>
      </c>
      <c r="E221" s="1" t="str">
        <f t="shared" si="30"/>
        <v/>
      </c>
      <c r="F221" t="str">
        <f t="shared" si="31"/>
        <v/>
      </c>
      <c r="G221" t="str">
        <f>IF(C221="","",ProcessUrl(E221,F221))</f>
        <v/>
      </c>
      <c r="H221" t="str">
        <f t="shared" si="32"/>
        <v/>
      </c>
      <c r="I221" t="str">
        <f t="shared" si="33"/>
        <v/>
      </c>
      <c r="J221" t="str">
        <f>IF(C221="","",ProcessUrl(H221,I221))</f>
        <v/>
      </c>
      <c r="K221" s="7" t="str">
        <f t="shared" si="34"/>
        <v/>
      </c>
      <c r="L221" s="7" t="str">
        <f t="shared" si="35"/>
        <v/>
      </c>
      <c r="M221" s="7" t="str">
        <f t="shared" si="36"/>
        <v/>
      </c>
      <c r="N221" s="7" t="str">
        <f t="shared" si="37"/>
        <v/>
      </c>
      <c r="O221" s="7" t="str">
        <f t="shared" si="38"/>
        <v/>
      </c>
      <c r="P221" t="str">
        <f t="shared" si="39"/>
        <v/>
      </c>
      <c r="Q221" t="str">
        <f>IF(C221="","",ProcessUrl(P221,"GetTestResults"))</f>
        <v/>
      </c>
      <c r="R221" s="10" t="str">
        <f>IF(C221="","",JsProcess("JsonItem",JsProcess("JsonItem",Q221,"Passed"),"count"))</f>
        <v/>
      </c>
      <c r="S221" s="10" t="str">
        <f>IF(C221="","",JsProcess("JsonItem",JsProcess("JsonItem",Q221,"NotExecuted"),"count"))</f>
        <v/>
      </c>
    </row>
    <row r="222" spans="4:19" x14ac:dyDescent="0.25">
      <c r="D222" t="str">
        <f>IF(C222="","",VLOOKUP(A222,Projects!A:B,2,FALSE))</f>
        <v/>
      </c>
      <c r="E222" s="1" t="str">
        <f t="shared" si="30"/>
        <v/>
      </c>
      <c r="F222" t="str">
        <f t="shared" si="31"/>
        <v/>
      </c>
      <c r="G222" t="str">
        <f>IF(C222="","",ProcessUrl(E222,F222))</f>
        <v/>
      </c>
      <c r="H222" t="str">
        <f t="shared" si="32"/>
        <v/>
      </c>
      <c r="I222" t="str">
        <f t="shared" si="33"/>
        <v/>
      </c>
      <c r="J222" t="str">
        <f>IF(C222="","",ProcessUrl(H222,I222))</f>
        <v/>
      </c>
      <c r="K222" s="7" t="str">
        <f t="shared" si="34"/>
        <v/>
      </c>
      <c r="L222" s="7" t="str">
        <f t="shared" si="35"/>
        <v/>
      </c>
      <c r="M222" s="7" t="str">
        <f t="shared" si="36"/>
        <v/>
      </c>
      <c r="N222" s="7" t="str">
        <f t="shared" si="37"/>
        <v/>
      </c>
      <c r="O222" s="7" t="str">
        <f t="shared" si="38"/>
        <v/>
      </c>
      <c r="P222" t="str">
        <f t="shared" si="39"/>
        <v/>
      </c>
      <c r="Q222" t="str">
        <f>IF(C222="","",ProcessUrl(P222,"GetTestResults"))</f>
        <v/>
      </c>
      <c r="R222" s="10" t="str">
        <f>IF(C222="","",JsProcess("JsonItem",JsProcess("JsonItem",Q222,"Passed"),"count"))</f>
        <v/>
      </c>
      <c r="S222" s="10" t="str">
        <f>IF(C222="","",JsProcess("JsonItem",JsProcess("JsonItem",Q222,"NotExecuted"),"count"))</f>
        <v/>
      </c>
    </row>
    <row r="223" spans="4:19" x14ac:dyDescent="0.25">
      <c r="D223" t="str">
        <f>IF(C223="","",VLOOKUP(A223,Projects!A:B,2,FALSE))</f>
        <v/>
      </c>
      <c r="E223" s="1" t="str">
        <f t="shared" si="30"/>
        <v/>
      </c>
      <c r="F223" t="str">
        <f t="shared" si="31"/>
        <v/>
      </c>
      <c r="G223" t="str">
        <f>IF(C223="","",ProcessUrl(E223,F223))</f>
        <v/>
      </c>
      <c r="H223" t="str">
        <f t="shared" si="32"/>
        <v/>
      </c>
      <c r="I223" t="str">
        <f t="shared" si="33"/>
        <v/>
      </c>
      <c r="J223" t="str">
        <f>IF(C223="","",ProcessUrl(H223,I223))</f>
        <v/>
      </c>
      <c r="K223" s="7" t="str">
        <f t="shared" si="34"/>
        <v/>
      </c>
      <c r="L223" s="7" t="str">
        <f t="shared" si="35"/>
        <v/>
      </c>
      <c r="M223" s="7" t="str">
        <f t="shared" si="36"/>
        <v/>
      </c>
      <c r="N223" s="7" t="str">
        <f t="shared" si="37"/>
        <v/>
      </c>
      <c r="O223" s="7" t="str">
        <f t="shared" si="38"/>
        <v/>
      </c>
      <c r="P223" t="str">
        <f t="shared" si="39"/>
        <v/>
      </c>
      <c r="Q223" t="str">
        <f>IF(C223="","",ProcessUrl(P223,"GetTestResults"))</f>
        <v/>
      </c>
      <c r="R223" s="10" t="str">
        <f>IF(C223="","",JsProcess("JsonItem",JsProcess("JsonItem",Q223,"Passed"),"count"))</f>
        <v/>
      </c>
      <c r="S223" s="10" t="str">
        <f>IF(C223="","",JsProcess("JsonItem",JsProcess("JsonItem",Q223,"NotExecuted"),"count"))</f>
        <v/>
      </c>
    </row>
    <row r="224" spans="4:19" x14ac:dyDescent="0.25">
      <c r="D224" t="str">
        <f>IF(C224="","",VLOOKUP(A224,Projects!A:B,2,FALSE))</f>
        <v/>
      </c>
      <c r="E224" s="1" t="str">
        <f t="shared" si="30"/>
        <v/>
      </c>
      <c r="F224" t="str">
        <f t="shared" si="31"/>
        <v/>
      </c>
      <c r="G224" t="str">
        <f>IF(C224="","",ProcessUrl(E224,F224))</f>
        <v/>
      </c>
      <c r="H224" t="str">
        <f t="shared" si="32"/>
        <v/>
      </c>
      <c r="I224" t="str">
        <f t="shared" si="33"/>
        <v/>
      </c>
      <c r="J224" t="str">
        <f>IF(C224="","",ProcessUrl(H224,I224))</f>
        <v/>
      </c>
      <c r="K224" s="7" t="str">
        <f t="shared" si="34"/>
        <v/>
      </c>
      <c r="L224" s="7" t="str">
        <f t="shared" si="35"/>
        <v/>
      </c>
      <c r="M224" s="7" t="str">
        <f t="shared" si="36"/>
        <v/>
      </c>
      <c r="N224" s="7" t="str">
        <f t="shared" si="37"/>
        <v/>
      </c>
      <c r="O224" s="7" t="str">
        <f t="shared" si="38"/>
        <v/>
      </c>
      <c r="P224" t="str">
        <f t="shared" si="39"/>
        <v/>
      </c>
      <c r="Q224" t="str">
        <f>IF(C224="","",ProcessUrl(P224,"GetTestResults"))</f>
        <v/>
      </c>
      <c r="R224" s="10" t="str">
        <f>IF(C224="","",JsProcess("JsonItem",JsProcess("JsonItem",Q224,"Passed"),"count"))</f>
        <v/>
      </c>
      <c r="S224" s="10" t="str">
        <f>IF(C224="","",JsProcess("JsonItem",JsProcess("JsonItem",Q224,"NotExecuted"),"count"))</f>
        <v/>
      </c>
    </row>
    <row r="225" spans="4:19" x14ac:dyDescent="0.25">
      <c r="D225" t="str">
        <f>IF(C225="","",VLOOKUP(A225,Projects!A:B,2,FALSE))</f>
        <v/>
      </c>
      <c r="E225" s="1" t="str">
        <f t="shared" si="30"/>
        <v/>
      </c>
      <c r="F225" t="str">
        <f t="shared" si="31"/>
        <v/>
      </c>
      <c r="G225" t="str">
        <f>IF(C225="","",ProcessUrl(E225,F225))</f>
        <v/>
      </c>
      <c r="H225" t="str">
        <f t="shared" si="32"/>
        <v/>
      </c>
      <c r="I225" t="str">
        <f t="shared" si="33"/>
        <v/>
      </c>
      <c r="J225" t="str">
        <f>IF(C225="","",ProcessUrl(H225,I225))</f>
        <v/>
      </c>
      <c r="K225" s="7" t="str">
        <f t="shared" si="34"/>
        <v/>
      </c>
      <c r="L225" s="7" t="str">
        <f t="shared" si="35"/>
        <v/>
      </c>
      <c r="M225" s="7" t="str">
        <f t="shared" si="36"/>
        <v/>
      </c>
      <c r="N225" s="7" t="str">
        <f t="shared" si="37"/>
        <v/>
      </c>
      <c r="O225" s="7" t="str">
        <f t="shared" si="38"/>
        <v/>
      </c>
      <c r="P225" t="str">
        <f t="shared" si="39"/>
        <v/>
      </c>
      <c r="Q225" t="str">
        <f>IF(C225="","",ProcessUrl(P225,"GetTestResults"))</f>
        <v/>
      </c>
      <c r="R225" s="10" t="str">
        <f>IF(C225="","",JsProcess("JsonItem",JsProcess("JsonItem",Q225,"Passed"),"count"))</f>
        <v/>
      </c>
      <c r="S225" s="10" t="str">
        <f>IF(C225="","",JsProcess("JsonItem",JsProcess("JsonItem",Q225,"NotExecuted"),"count"))</f>
        <v/>
      </c>
    </row>
    <row r="226" spans="4:19" x14ac:dyDescent="0.25">
      <c r="D226" t="str">
        <f>IF(C226="","",VLOOKUP(A226,Projects!A:B,2,FALSE))</f>
        <v/>
      </c>
      <c r="E226" s="1" t="str">
        <f t="shared" si="30"/>
        <v/>
      </c>
      <c r="F226" t="str">
        <f t="shared" si="31"/>
        <v/>
      </c>
      <c r="G226" t="str">
        <f>IF(C226="","",ProcessUrl(E226,F226))</f>
        <v/>
      </c>
      <c r="H226" t="str">
        <f t="shared" si="32"/>
        <v/>
      </c>
      <c r="I226" t="str">
        <f t="shared" si="33"/>
        <v/>
      </c>
      <c r="J226" t="str">
        <f>IF(C226="","",ProcessUrl(H226,I226))</f>
        <v/>
      </c>
      <c r="K226" s="7" t="str">
        <f t="shared" si="34"/>
        <v/>
      </c>
      <c r="L226" s="7" t="str">
        <f t="shared" si="35"/>
        <v/>
      </c>
      <c r="M226" s="7" t="str">
        <f t="shared" si="36"/>
        <v/>
      </c>
      <c r="N226" s="7" t="str">
        <f t="shared" si="37"/>
        <v/>
      </c>
      <c r="O226" s="7" t="str">
        <f t="shared" si="38"/>
        <v/>
      </c>
      <c r="P226" t="str">
        <f t="shared" si="39"/>
        <v/>
      </c>
      <c r="Q226" t="str">
        <f>IF(C226="","",ProcessUrl(P226,"GetTestResults"))</f>
        <v/>
      </c>
      <c r="R226" s="10" t="str">
        <f>IF(C226="","",JsProcess("JsonItem",JsProcess("JsonItem",Q226,"Passed"),"count"))</f>
        <v/>
      </c>
      <c r="S226" s="10" t="str">
        <f>IF(C226="","",JsProcess("JsonItem",JsProcess("JsonItem",Q226,"NotExecuted"),"count"))</f>
        <v/>
      </c>
    </row>
    <row r="227" spans="4:19" x14ac:dyDescent="0.25">
      <c r="D227" t="str">
        <f>IF(C227="","",VLOOKUP(A227,Projects!A:B,2,FALSE))</f>
        <v/>
      </c>
      <c r="E227" s="1" t="str">
        <f t="shared" si="30"/>
        <v/>
      </c>
      <c r="F227" t="str">
        <f t="shared" si="31"/>
        <v/>
      </c>
      <c r="G227" t="str">
        <f>IF(C227="","",ProcessUrl(E227,F227))</f>
        <v/>
      </c>
      <c r="H227" t="str">
        <f t="shared" si="32"/>
        <v/>
      </c>
      <c r="I227" t="str">
        <f t="shared" si="33"/>
        <v/>
      </c>
      <c r="J227" t="str">
        <f>IF(C227="","",ProcessUrl(H227,I227))</f>
        <v/>
      </c>
      <c r="K227" s="7" t="str">
        <f t="shared" si="34"/>
        <v/>
      </c>
      <c r="L227" s="7" t="str">
        <f t="shared" si="35"/>
        <v/>
      </c>
      <c r="M227" s="7" t="str">
        <f t="shared" si="36"/>
        <v/>
      </c>
      <c r="N227" s="7" t="str">
        <f t="shared" si="37"/>
        <v/>
      </c>
      <c r="O227" s="7" t="str">
        <f t="shared" si="38"/>
        <v/>
      </c>
      <c r="P227" t="str">
        <f t="shared" si="39"/>
        <v/>
      </c>
      <c r="Q227" t="str">
        <f>IF(C227="","",ProcessUrl(P227,"GetTestResults"))</f>
        <v/>
      </c>
      <c r="R227" s="10" t="str">
        <f>IF(C227="","",JsProcess("JsonItem",JsProcess("JsonItem",Q227,"Passed"),"count"))</f>
        <v/>
      </c>
      <c r="S227" s="10" t="str">
        <f>IF(C227="","",JsProcess("JsonItem",JsProcess("JsonItem",Q227,"NotExecuted"),"count"))</f>
        <v/>
      </c>
    </row>
    <row r="228" spans="4:19" x14ac:dyDescent="0.25">
      <c r="D228" t="str">
        <f>IF(C228="","",VLOOKUP(A228,Projects!A:B,2,FALSE))</f>
        <v/>
      </c>
      <c r="E228" s="1" t="str">
        <f t="shared" si="30"/>
        <v/>
      </c>
      <c r="F228" t="str">
        <f t="shared" si="31"/>
        <v/>
      </c>
      <c r="G228" t="str">
        <f>IF(C228="","",ProcessUrl(E228,F228))</f>
        <v/>
      </c>
      <c r="H228" t="str">
        <f t="shared" si="32"/>
        <v/>
      </c>
      <c r="I228" t="str">
        <f t="shared" si="33"/>
        <v/>
      </c>
      <c r="J228" t="str">
        <f>IF(C228="","",ProcessUrl(H228,I228))</f>
        <v/>
      </c>
      <c r="K228" s="7" t="str">
        <f t="shared" si="34"/>
        <v/>
      </c>
      <c r="L228" s="7" t="str">
        <f t="shared" si="35"/>
        <v/>
      </c>
      <c r="M228" s="7" t="str">
        <f t="shared" si="36"/>
        <v/>
      </c>
      <c r="N228" s="7" t="str">
        <f t="shared" si="37"/>
        <v/>
      </c>
      <c r="O228" s="7" t="str">
        <f t="shared" si="38"/>
        <v/>
      </c>
      <c r="P228" t="str">
        <f t="shared" si="39"/>
        <v/>
      </c>
      <c r="Q228" t="str">
        <f>IF(C228="","",ProcessUrl(P228,"GetTestResults"))</f>
        <v/>
      </c>
      <c r="R228" s="10" t="str">
        <f>IF(C228="","",JsProcess("JsonItem",JsProcess("JsonItem",Q228,"Passed"),"count"))</f>
        <v/>
      </c>
      <c r="S228" s="10" t="str">
        <f>IF(C228="","",JsProcess("JsonItem",JsProcess("JsonItem",Q228,"NotExecuted"),"count"))</f>
        <v/>
      </c>
    </row>
    <row r="229" spans="4:19" x14ac:dyDescent="0.25">
      <c r="D229" t="str">
        <f>IF(C229="","",VLOOKUP(A229,Projects!A:B,2,FALSE))</f>
        <v/>
      </c>
      <c r="E229" s="1" t="str">
        <f t="shared" si="30"/>
        <v/>
      </c>
      <c r="F229" t="str">
        <f t="shared" si="31"/>
        <v/>
      </c>
      <c r="G229" t="str">
        <f>IF(C229="","",ProcessUrl(E229,F229))</f>
        <v/>
      </c>
      <c r="H229" t="str">
        <f t="shared" si="32"/>
        <v/>
      </c>
      <c r="I229" t="str">
        <f t="shared" si="33"/>
        <v/>
      </c>
      <c r="J229" t="str">
        <f>IF(C229="","",ProcessUrl(H229,I229))</f>
        <v/>
      </c>
      <c r="K229" s="7" t="str">
        <f t="shared" si="34"/>
        <v/>
      </c>
      <c r="L229" s="7" t="str">
        <f t="shared" si="35"/>
        <v/>
      </c>
      <c r="M229" s="7" t="str">
        <f t="shared" si="36"/>
        <v/>
      </c>
      <c r="N229" s="7" t="str">
        <f t="shared" si="37"/>
        <v/>
      </c>
      <c r="O229" s="7" t="str">
        <f t="shared" si="38"/>
        <v/>
      </c>
      <c r="P229" t="str">
        <f t="shared" si="39"/>
        <v/>
      </c>
      <c r="Q229" t="str">
        <f>IF(C229="","",ProcessUrl(P229,"GetTestResults"))</f>
        <v/>
      </c>
      <c r="R229" s="10" t="str">
        <f>IF(C229="","",JsProcess("JsonItem",JsProcess("JsonItem",Q229,"Passed"),"count"))</f>
        <v/>
      </c>
      <c r="S229" s="10" t="str">
        <f>IF(C229="","",JsProcess("JsonItem",JsProcess("JsonItem",Q229,"NotExecuted"),"count"))</f>
        <v/>
      </c>
    </row>
    <row r="230" spans="4:19" x14ac:dyDescent="0.25">
      <c r="D230" t="str">
        <f>IF(C230="","",VLOOKUP(A230,Projects!A:B,2,FALSE))</f>
        <v/>
      </c>
      <c r="E230" s="1" t="str">
        <f t="shared" si="30"/>
        <v/>
      </c>
      <c r="F230" t="str">
        <f t="shared" si="31"/>
        <v/>
      </c>
      <c r="G230" t="str">
        <f>IF(C230="","",ProcessUrl(E230,F230))</f>
        <v/>
      </c>
      <c r="H230" t="str">
        <f t="shared" si="32"/>
        <v/>
      </c>
      <c r="I230" t="str">
        <f t="shared" si="33"/>
        <v/>
      </c>
      <c r="J230" t="str">
        <f>IF(C230="","",ProcessUrl(H230,I230))</f>
        <v/>
      </c>
      <c r="K230" s="7" t="str">
        <f t="shared" si="34"/>
        <v/>
      </c>
      <c r="L230" s="7" t="str">
        <f t="shared" si="35"/>
        <v/>
      </c>
      <c r="M230" s="7" t="str">
        <f t="shared" si="36"/>
        <v/>
      </c>
      <c r="N230" s="7" t="str">
        <f t="shared" si="37"/>
        <v/>
      </c>
      <c r="O230" s="7" t="str">
        <f t="shared" si="38"/>
        <v/>
      </c>
      <c r="P230" t="str">
        <f t="shared" si="39"/>
        <v/>
      </c>
      <c r="Q230" t="str">
        <f>IF(C230="","",ProcessUrl(P230,"GetTestResults"))</f>
        <v/>
      </c>
      <c r="R230" s="10" t="str">
        <f>IF(C230="","",JsProcess("JsonItem",JsProcess("JsonItem",Q230,"Passed"),"count"))</f>
        <v/>
      </c>
      <c r="S230" s="10" t="str">
        <f>IF(C230="","",JsProcess("JsonItem",JsProcess("JsonItem",Q230,"NotExecuted"),"count"))</f>
        <v/>
      </c>
    </row>
    <row r="231" spans="4:19" x14ac:dyDescent="0.25">
      <c r="D231" t="str">
        <f>IF(C231="","",VLOOKUP(A231,Projects!A:B,2,FALSE))</f>
        <v/>
      </c>
      <c r="E231" s="1" t="str">
        <f t="shared" si="30"/>
        <v/>
      </c>
      <c r="F231" t="str">
        <f t="shared" si="31"/>
        <v/>
      </c>
      <c r="G231" t="str">
        <f>IF(C231="","",ProcessUrl(E231,F231))</f>
        <v/>
      </c>
      <c r="H231" t="str">
        <f t="shared" si="32"/>
        <v/>
      </c>
      <c r="I231" t="str">
        <f t="shared" si="33"/>
        <v/>
      </c>
      <c r="J231" t="str">
        <f>IF(C231="","",ProcessUrl(H231,I231))</f>
        <v/>
      </c>
      <c r="K231" s="7" t="str">
        <f t="shared" si="34"/>
        <v/>
      </c>
      <c r="L231" s="7" t="str">
        <f t="shared" si="35"/>
        <v/>
      </c>
      <c r="M231" s="7" t="str">
        <f t="shared" si="36"/>
        <v/>
      </c>
      <c r="N231" s="7" t="str">
        <f t="shared" si="37"/>
        <v/>
      </c>
      <c r="O231" s="7" t="str">
        <f t="shared" si="38"/>
        <v/>
      </c>
      <c r="P231" t="str">
        <f t="shared" si="39"/>
        <v/>
      </c>
      <c r="Q231" t="str">
        <f>IF(C231="","",ProcessUrl(P231,"GetTestResults"))</f>
        <v/>
      </c>
      <c r="R231" s="10" t="str">
        <f>IF(C231="","",JsProcess("JsonItem",JsProcess("JsonItem",Q231,"Passed"),"count"))</f>
        <v/>
      </c>
      <c r="S231" s="10" t="str">
        <f>IF(C231="","",JsProcess("JsonItem",JsProcess("JsonItem",Q231,"NotExecuted"),"count"))</f>
        <v/>
      </c>
    </row>
    <row r="232" spans="4:19" x14ac:dyDescent="0.25">
      <c r="D232" t="str">
        <f>IF(C232="","",VLOOKUP(A232,Projects!A:B,2,FALSE))</f>
        <v/>
      </c>
      <c r="E232" s="1" t="str">
        <f t="shared" si="30"/>
        <v/>
      </c>
      <c r="F232" t="str">
        <f t="shared" si="31"/>
        <v/>
      </c>
      <c r="G232" t="str">
        <f>IF(C232="","",ProcessUrl(E232,F232))</f>
        <v/>
      </c>
      <c r="H232" t="str">
        <f t="shared" si="32"/>
        <v/>
      </c>
      <c r="I232" t="str">
        <f t="shared" si="33"/>
        <v/>
      </c>
      <c r="J232" t="str">
        <f>IF(C232="","",ProcessUrl(H232,I232))</f>
        <v/>
      </c>
      <c r="K232" s="7" t="str">
        <f t="shared" si="34"/>
        <v/>
      </c>
      <c r="L232" s="7" t="str">
        <f t="shared" si="35"/>
        <v/>
      </c>
      <c r="M232" s="7" t="str">
        <f t="shared" si="36"/>
        <v/>
      </c>
      <c r="N232" s="7" t="str">
        <f t="shared" si="37"/>
        <v/>
      </c>
      <c r="O232" s="7" t="str">
        <f t="shared" si="38"/>
        <v/>
      </c>
      <c r="P232" t="str">
        <f t="shared" si="39"/>
        <v/>
      </c>
      <c r="Q232" t="str">
        <f>IF(C232="","",ProcessUrl(P232,"GetTestResults"))</f>
        <v/>
      </c>
      <c r="R232" s="10" t="str">
        <f>IF(C232="","",JsProcess("JsonItem",JsProcess("JsonItem",Q232,"Passed"),"count"))</f>
        <v/>
      </c>
      <c r="S232" s="10" t="str">
        <f>IF(C232="","",JsProcess("JsonItem",JsProcess("JsonItem",Q232,"NotExecuted"),"count"))</f>
        <v/>
      </c>
    </row>
    <row r="233" spans="4:19" x14ac:dyDescent="0.25">
      <c r="D233" t="str">
        <f>IF(C233="","",VLOOKUP(A233,Projects!A:B,2,FALSE))</f>
        <v/>
      </c>
      <c r="E233" s="1" t="str">
        <f t="shared" si="30"/>
        <v/>
      </c>
      <c r="F233" t="str">
        <f t="shared" si="31"/>
        <v/>
      </c>
      <c r="G233" t="str">
        <f>IF(C233="","",ProcessUrl(E233,F233))</f>
        <v/>
      </c>
      <c r="H233" t="str">
        <f t="shared" si="32"/>
        <v/>
      </c>
      <c r="I233" t="str">
        <f t="shared" si="33"/>
        <v/>
      </c>
      <c r="J233" t="str">
        <f>IF(C233="","",ProcessUrl(H233,I233))</f>
        <v/>
      </c>
      <c r="K233" s="7" t="str">
        <f t="shared" si="34"/>
        <v/>
      </c>
      <c r="L233" s="7" t="str">
        <f t="shared" si="35"/>
        <v/>
      </c>
      <c r="M233" s="7" t="str">
        <f t="shared" si="36"/>
        <v/>
      </c>
      <c r="N233" s="7" t="str">
        <f t="shared" si="37"/>
        <v/>
      </c>
      <c r="O233" s="7" t="str">
        <f t="shared" si="38"/>
        <v/>
      </c>
      <c r="P233" t="str">
        <f t="shared" si="39"/>
        <v/>
      </c>
      <c r="Q233" t="str">
        <f>IF(C233="","",ProcessUrl(P233,"GetTestResults"))</f>
        <v/>
      </c>
      <c r="R233" s="10" t="str">
        <f>IF(C233="","",JsProcess("JsonItem",JsProcess("JsonItem",Q233,"Passed"),"count"))</f>
        <v/>
      </c>
      <c r="S233" s="10" t="str">
        <f>IF(C233="","",JsProcess("JsonItem",JsProcess("JsonItem",Q233,"NotExecuted"),"count"))</f>
        <v/>
      </c>
    </row>
    <row r="234" spans="4:19" x14ac:dyDescent="0.25">
      <c r="D234" t="str">
        <f>IF(C234="","",VLOOKUP(A234,Projects!A:B,2,FALSE))</f>
        <v/>
      </c>
      <c r="E234" s="1" t="str">
        <f t="shared" si="30"/>
        <v/>
      </c>
      <c r="F234" t="str">
        <f t="shared" si="31"/>
        <v/>
      </c>
      <c r="G234" t="str">
        <f>IF(C234="","",ProcessUrl(E234,F234))</f>
        <v/>
      </c>
      <c r="H234" t="str">
        <f t="shared" si="32"/>
        <v/>
      </c>
      <c r="I234" t="str">
        <f t="shared" si="33"/>
        <v/>
      </c>
      <c r="J234" t="str">
        <f>IF(C234="","",ProcessUrl(H234,I234))</f>
        <v/>
      </c>
      <c r="K234" s="7" t="str">
        <f t="shared" si="34"/>
        <v/>
      </c>
      <c r="L234" s="7" t="str">
        <f t="shared" si="35"/>
        <v/>
      </c>
      <c r="M234" s="7" t="str">
        <f t="shared" si="36"/>
        <v/>
      </c>
      <c r="N234" s="7" t="str">
        <f t="shared" si="37"/>
        <v/>
      </c>
      <c r="O234" s="7" t="str">
        <f t="shared" si="38"/>
        <v/>
      </c>
      <c r="P234" t="str">
        <f t="shared" si="39"/>
        <v/>
      </c>
      <c r="Q234" t="str">
        <f>IF(C234="","",ProcessUrl(P234,"GetTestResults"))</f>
        <v/>
      </c>
      <c r="R234" s="10" t="str">
        <f>IF(C234="","",JsProcess("JsonItem",JsProcess("JsonItem",Q234,"Passed"),"count"))</f>
        <v/>
      </c>
      <c r="S234" s="10" t="str">
        <f>IF(C234="","",JsProcess("JsonItem",JsProcess("JsonItem",Q234,"NotExecuted"),"count"))</f>
        <v/>
      </c>
    </row>
    <row r="235" spans="4:19" x14ac:dyDescent="0.25">
      <c r="D235" t="str">
        <f>IF(C235="","",VLOOKUP(A235,Projects!A:B,2,FALSE))</f>
        <v/>
      </c>
      <c r="E235" s="1" t="str">
        <f t="shared" si="30"/>
        <v/>
      </c>
      <c r="F235" t="str">
        <f t="shared" si="31"/>
        <v/>
      </c>
      <c r="G235" t="str">
        <f>IF(C235="","",ProcessUrl(E235,F235))</f>
        <v/>
      </c>
      <c r="H235" t="str">
        <f t="shared" si="32"/>
        <v/>
      </c>
      <c r="I235" t="str">
        <f t="shared" si="33"/>
        <v/>
      </c>
      <c r="J235" t="str">
        <f>IF(C235="","",ProcessUrl(H235,I235))</f>
        <v/>
      </c>
      <c r="K235" s="7" t="str">
        <f t="shared" si="34"/>
        <v/>
      </c>
      <c r="L235" s="7" t="str">
        <f t="shared" si="35"/>
        <v/>
      </c>
      <c r="M235" s="7" t="str">
        <f t="shared" si="36"/>
        <v/>
      </c>
      <c r="N235" s="7" t="str">
        <f t="shared" si="37"/>
        <v/>
      </c>
      <c r="O235" s="7" t="str">
        <f t="shared" si="38"/>
        <v/>
      </c>
      <c r="P235" t="str">
        <f t="shared" si="39"/>
        <v/>
      </c>
      <c r="Q235" t="str">
        <f>IF(C235="","",ProcessUrl(P235,"GetTestResults"))</f>
        <v/>
      </c>
      <c r="R235" s="10" t="str">
        <f>IF(C235="","",JsProcess("JsonItem",JsProcess("JsonItem",Q235,"Passed"),"count"))</f>
        <v/>
      </c>
      <c r="S235" s="10" t="str">
        <f>IF(C235="","",JsProcess("JsonItem",JsProcess("JsonItem",Q235,"NotExecuted"),"count"))</f>
        <v/>
      </c>
    </row>
    <row r="236" spans="4:19" x14ac:dyDescent="0.25">
      <c r="D236" t="str">
        <f>IF(C236="","",VLOOKUP(A236,Projects!A:B,2,FALSE))</f>
        <v/>
      </c>
      <c r="E236" s="1" t="str">
        <f t="shared" si="30"/>
        <v/>
      </c>
      <c r="F236" t="str">
        <f t="shared" si="31"/>
        <v/>
      </c>
      <c r="G236" t="str">
        <f>IF(C236="","",ProcessUrl(E236,F236))</f>
        <v/>
      </c>
      <c r="H236" t="str">
        <f t="shared" si="32"/>
        <v/>
      </c>
      <c r="I236" t="str">
        <f t="shared" si="33"/>
        <v/>
      </c>
      <c r="J236" t="str">
        <f>IF(C236="","",ProcessUrl(H236,I236))</f>
        <v/>
      </c>
      <c r="K236" s="7" t="str">
        <f t="shared" si="34"/>
        <v/>
      </c>
      <c r="L236" s="7" t="str">
        <f t="shared" si="35"/>
        <v/>
      </c>
      <c r="M236" s="7" t="str">
        <f t="shared" si="36"/>
        <v/>
      </c>
      <c r="N236" s="7" t="str">
        <f t="shared" si="37"/>
        <v/>
      </c>
      <c r="O236" s="7" t="str">
        <f t="shared" si="38"/>
        <v/>
      </c>
      <c r="P236" t="str">
        <f t="shared" si="39"/>
        <v/>
      </c>
      <c r="Q236" t="str">
        <f>IF(C236="","",ProcessUrl(P236,"GetTestResults"))</f>
        <v/>
      </c>
      <c r="R236" s="10" t="str">
        <f>IF(C236="","",JsProcess("JsonItem",JsProcess("JsonItem",Q236,"Passed"),"count"))</f>
        <v/>
      </c>
      <c r="S236" s="10" t="str">
        <f>IF(C236="","",JsProcess("JsonItem",JsProcess("JsonItem",Q236,"NotExecuted"),"count"))</f>
        <v/>
      </c>
    </row>
    <row r="237" spans="4:19" x14ac:dyDescent="0.25">
      <c r="D237" t="str">
        <f>IF(C237="","",VLOOKUP(A237,Projects!A:B,2,FALSE))</f>
        <v/>
      </c>
      <c r="E237" s="1" t="str">
        <f t="shared" si="30"/>
        <v/>
      </c>
      <c r="F237" t="str">
        <f t="shared" si="31"/>
        <v/>
      </c>
      <c r="G237" t="str">
        <f>IF(C237="","",ProcessUrl(E237,F237))</f>
        <v/>
      </c>
      <c r="H237" t="str">
        <f t="shared" si="32"/>
        <v/>
      </c>
      <c r="I237" t="str">
        <f t="shared" si="33"/>
        <v/>
      </c>
      <c r="J237" t="str">
        <f>IF(C237="","",ProcessUrl(H237,I237))</f>
        <v/>
      </c>
      <c r="K237" s="7" t="str">
        <f t="shared" si="34"/>
        <v/>
      </c>
      <c r="L237" s="7" t="str">
        <f t="shared" si="35"/>
        <v/>
      </c>
      <c r="M237" s="7" t="str">
        <f t="shared" si="36"/>
        <v/>
      </c>
      <c r="N237" s="7" t="str">
        <f t="shared" si="37"/>
        <v/>
      </c>
      <c r="O237" s="7" t="str">
        <f t="shared" si="38"/>
        <v/>
      </c>
      <c r="P237" t="str">
        <f t="shared" si="39"/>
        <v/>
      </c>
      <c r="Q237" t="str">
        <f>IF(C237="","",ProcessUrl(P237,"GetTestResults"))</f>
        <v/>
      </c>
      <c r="R237" s="10" t="str">
        <f>IF(C237="","",JsProcess("JsonItem",JsProcess("JsonItem",Q237,"Passed"),"count"))</f>
        <v/>
      </c>
      <c r="S237" s="10" t="str">
        <f>IF(C237="","",JsProcess("JsonItem",JsProcess("JsonItem",Q237,"NotExecuted"),"count"))</f>
        <v/>
      </c>
    </row>
    <row r="238" spans="4:19" x14ac:dyDescent="0.25">
      <c r="D238" t="str">
        <f>IF(C238="","",VLOOKUP(A238,Projects!A:B,2,FALSE))</f>
        <v/>
      </c>
      <c r="E238" s="1" t="str">
        <f t="shared" si="30"/>
        <v/>
      </c>
      <c r="F238" t="str">
        <f t="shared" si="31"/>
        <v/>
      </c>
      <c r="G238" t="str">
        <f>IF(C238="","",ProcessUrl(E238,F238))</f>
        <v/>
      </c>
      <c r="H238" t="str">
        <f t="shared" si="32"/>
        <v/>
      </c>
      <c r="I238" t="str">
        <f t="shared" si="33"/>
        <v/>
      </c>
      <c r="J238" t="str">
        <f>IF(C238="","",ProcessUrl(H238,I238))</f>
        <v/>
      </c>
      <c r="K238" s="7" t="str">
        <f t="shared" si="34"/>
        <v/>
      </c>
      <c r="L238" s="7" t="str">
        <f t="shared" si="35"/>
        <v/>
      </c>
      <c r="M238" s="7" t="str">
        <f t="shared" si="36"/>
        <v/>
      </c>
      <c r="N238" s="7" t="str">
        <f t="shared" si="37"/>
        <v/>
      </c>
      <c r="O238" s="7" t="str">
        <f t="shared" si="38"/>
        <v/>
      </c>
      <c r="P238" t="str">
        <f t="shared" si="39"/>
        <v/>
      </c>
      <c r="Q238" t="str">
        <f>IF(C238="","",ProcessUrl(P238,"GetTestResults"))</f>
        <v/>
      </c>
      <c r="R238" s="10" t="str">
        <f>IF(C238="","",JsProcess("JsonItem",JsProcess("JsonItem",Q238,"Passed"),"count"))</f>
        <v/>
      </c>
      <c r="S238" s="10" t="str">
        <f>IF(C238="","",JsProcess("JsonItem",JsProcess("JsonItem",Q238,"NotExecuted"),"count"))</f>
        <v/>
      </c>
    </row>
    <row r="239" spans="4:19" x14ac:dyDescent="0.25">
      <c r="D239" t="str">
        <f>IF(C239="","",VLOOKUP(A239,Projects!A:B,2,FALSE))</f>
        <v/>
      </c>
      <c r="E239" s="1" t="str">
        <f t="shared" si="30"/>
        <v/>
      </c>
      <c r="F239" t="str">
        <f t="shared" si="31"/>
        <v/>
      </c>
      <c r="G239" t="str">
        <f>IF(C239="","",ProcessUrl(E239,F239))</f>
        <v/>
      </c>
      <c r="H239" t="str">
        <f t="shared" si="32"/>
        <v/>
      </c>
      <c r="I239" t="str">
        <f t="shared" si="33"/>
        <v/>
      </c>
      <c r="J239" t="str">
        <f>IF(C239="","",ProcessUrl(H239,I239))</f>
        <v/>
      </c>
      <c r="K239" s="7" t="str">
        <f t="shared" si="34"/>
        <v/>
      </c>
      <c r="L239" s="7" t="str">
        <f t="shared" si="35"/>
        <v/>
      </c>
      <c r="M239" s="7" t="str">
        <f t="shared" si="36"/>
        <v/>
      </c>
      <c r="N239" s="7" t="str">
        <f t="shared" si="37"/>
        <v/>
      </c>
      <c r="O239" s="7" t="str">
        <f t="shared" si="38"/>
        <v/>
      </c>
      <c r="P239" t="str">
        <f t="shared" si="39"/>
        <v/>
      </c>
      <c r="Q239" t="str">
        <f>IF(C239="","",ProcessUrl(P239,"GetTestResults"))</f>
        <v/>
      </c>
      <c r="R239" s="10" t="str">
        <f>IF(C239="","",JsProcess("JsonItem",JsProcess("JsonItem",Q239,"Passed"),"count"))</f>
        <v/>
      </c>
      <c r="S239" s="10" t="str">
        <f>IF(C239="","",JsProcess("JsonItem",JsProcess("JsonItem",Q239,"NotExecuted"),"count"))</f>
        <v/>
      </c>
    </row>
    <row r="240" spans="4:19" x14ac:dyDescent="0.25">
      <c r="D240" t="str">
        <f>IF(C240="","",VLOOKUP(A240,Projects!A:B,2,FALSE))</f>
        <v/>
      </c>
      <c r="E240" s="1" t="str">
        <f t="shared" si="30"/>
        <v/>
      </c>
      <c r="F240" t="str">
        <f t="shared" si="31"/>
        <v/>
      </c>
      <c r="G240" t="str">
        <f>IF(C240="","",ProcessUrl(E240,F240))</f>
        <v/>
      </c>
      <c r="H240" t="str">
        <f t="shared" si="32"/>
        <v/>
      </c>
      <c r="I240" t="str">
        <f t="shared" si="33"/>
        <v/>
      </c>
      <c r="J240" t="str">
        <f>IF(C240="","",ProcessUrl(H240,I240))</f>
        <v/>
      </c>
      <c r="K240" s="7" t="str">
        <f t="shared" si="34"/>
        <v/>
      </c>
      <c r="L240" s="7" t="str">
        <f t="shared" si="35"/>
        <v/>
      </c>
      <c r="M240" s="7" t="str">
        <f t="shared" si="36"/>
        <v/>
      </c>
      <c r="N240" s="7" t="str">
        <f t="shared" si="37"/>
        <v/>
      </c>
      <c r="O240" s="7" t="str">
        <f t="shared" si="38"/>
        <v/>
      </c>
      <c r="P240" t="str">
        <f t="shared" si="39"/>
        <v/>
      </c>
      <c r="Q240" t="str">
        <f>IF(C240="","",ProcessUrl(P240,"GetTestResults"))</f>
        <v/>
      </c>
      <c r="R240" s="10" t="str">
        <f>IF(C240="","",JsProcess("JsonItem",JsProcess("JsonItem",Q240,"Passed"),"count"))</f>
        <v/>
      </c>
      <c r="S240" s="10" t="str">
        <f>IF(C240="","",JsProcess("JsonItem",JsProcess("JsonItem",Q240,"NotExecuted"),"count"))</f>
        <v/>
      </c>
    </row>
    <row r="241" spans="4:19" x14ac:dyDescent="0.25">
      <c r="D241" t="str">
        <f>IF(C241="","",VLOOKUP(A241,Projects!A:B,2,FALSE))</f>
        <v/>
      </c>
      <c r="E241" s="1" t="str">
        <f t="shared" si="30"/>
        <v/>
      </c>
      <c r="F241" t="str">
        <f t="shared" si="31"/>
        <v/>
      </c>
      <c r="G241" t="str">
        <f>IF(C241="","",ProcessUrl(E241,F241))</f>
        <v/>
      </c>
      <c r="H241" t="str">
        <f t="shared" si="32"/>
        <v/>
      </c>
      <c r="I241" t="str">
        <f t="shared" si="33"/>
        <v/>
      </c>
      <c r="J241" t="str">
        <f>IF(C241="","",ProcessUrl(H241,I241))</f>
        <v/>
      </c>
      <c r="K241" s="7" t="str">
        <f t="shared" si="34"/>
        <v/>
      </c>
      <c r="L241" s="7" t="str">
        <f t="shared" si="35"/>
        <v/>
      </c>
      <c r="M241" s="7" t="str">
        <f t="shared" si="36"/>
        <v/>
      </c>
      <c r="N241" s="7" t="str">
        <f t="shared" si="37"/>
        <v/>
      </c>
      <c r="O241" s="7" t="str">
        <f t="shared" si="38"/>
        <v/>
      </c>
      <c r="P241" t="str">
        <f t="shared" si="39"/>
        <v/>
      </c>
      <c r="Q241" t="str">
        <f>IF(C241="","",ProcessUrl(P241,"GetTestResults"))</f>
        <v/>
      </c>
      <c r="R241" s="10" t="str">
        <f>IF(C241="","",JsProcess("JsonItem",JsProcess("JsonItem",Q241,"Passed"),"count"))</f>
        <v/>
      </c>
      <c r="S241" s="10" t="str">
        <f>IF(C241="","",JsProcess("JsonItem",JsProcess("JsonItem",Q241,"NotExecuted"),"count"))</f>
        <v/>
      </c>
    </row>
    <row r="242" spans="4:19" x14ac:dyDescent="0.25">
      <c r="D242" t="str">
        <f>IF(C242="","",VLOOKUP(A242,Projects!A:B,2,FALSE))</f>
        <v/>
      </c>
      <c r="E242" s="1" t="str">
        <f t="shared" si="30"/>
        <v/>
      </c>
      <c r="F242" t="str">
        <f t="shared" si="31"/>
        <v/>
      </c>
      <c r="G242" t="str">
        <f>IF(C242="","",ProcessUrl(E242,F242))</f>
        <v/>
      </c>
      <c r="H242" t="str">
        <f t="shared" si="32"/>
        <v/>
      </c>
      <c r="I242" t="str">
        <f t="shared" si="33"/>
        <v/>
      </c>
      <c r="J242" t="str">
        <f>IF(C242="","",ProcessUrl(H242,I242))</f>
        <v/>
      </c>
      <c r="K242" s="7" t="str">
        <f t="shared" si="34"/>
        <v/>
      </c>
      <c r="L242" s="7" t="str">
        <f t="shared" si="35"/>
        <v/>
      </c>
      <c r="M242" s="7" t="str">
        <f t="shared" si="36"/>
        <v/>
      </c>
      <c r="N242" s="7" t="str">
        <f t="shared" si="37"/>
        <v/>
      </c>
      <c r="O242" s="7" t="str">
        <f t="shared" si="38"/>
        <v/>
      </c>
      <c r="P242" t="str">
        <f t="shared" si="39"/>
        <v/>
      </c>
      <c r="Q242" t="str">
        <f>IF(C242="","",ProcessUrl(P242,"GetTestResults"))</f>
        <v/>
      </c>
      <c r="R242" s="10" t="str">
        <f>IF(C242="","",JsProcess("JsonItem",JsProcess("JsonItem",Q242,"Passed"),"count"))</f>
        <v/>
      </c>
      <c r="S242" s="10" t="str">
        <f>IF(C242="","",JsProcess("JsonItem",JsProcess("JsonItem",Q242,"NotExecuted"),"count"))</f>
        <v/>
      </c>
    </row>
    <row r="243" spans="4:19" x14ac:dyDescent="0.25">
      <c r="D243" t="str">
        <f>IF(C243="","",VLOOKUP(A243,Projects!A:B,2,FALSE))</f>
        <v/>
      </c>
      <c r="E243" s="1" t="str">
        <f t="shared" si="30"/>
        <v/>
      </c>
      <c r="F243" t="str">
        <f t="shared" si="31"/>
        <v/>
      </c>
      <c r="G243" t="str">
        <f>IF(C243="","",ProcessUrl(E243,F243))</f>
        <v/>
      </c>
      <c r="H243" t="str">
        <f t="shared" si="32"/>
        <v/>
      </c>
      <c r="I243" t="str">
        <f t="shared" si="33"/>
        <v/>
      </c>
      <c r="J243" t="str">
        <f>IF(C243="","",ProcessUrl(H243,I243))</f>
        <v/>
      </c>
      <c r="K243" s="7" t="str">
        <f t="shared" si="34"/>
        <v/>
      </c>
      <c r="L243" s="7" t="str">
        <f t="shared" si="35"/>
        <v/>
      </c>
      <c r="M243" s="7" t="str">
        <f t="shared" si="36"/>
        <v/>
      </c>
      <c r="N243" s="7" t="str">
        <f t="shared" si="37"/>
        <v/>
      </c>
      <c r="O243" s="7" t="str">
        <f t="shared" si="38"/>
        <v/>
      </c>
      <c r="P243" t="str">
        <f t="shared" si="39"/>
        <v/>
      </c>
      <c r="Q243" t="str">
        <f>IF(C243="","",ProcessUrl(P243,"GetTestResults"))</f>
        <v/>
      </c>
      <c r="R243" s="10" t="str">
        <f>IF(C243="","",JsProcess("JsonItem",JsProcess("JsonItem",Q243,"Passed"),"count"))</f>
        <v/>
      </c>
      <c r="S243" s="10" t="str">
        <f>IF(C243="","",JsProcess("JsonItem",JsProcess("JsonItem",Q243,"NotExecuted"),"count"))</f>
        <v/>
      </c>
    </row>
    <row r="244" spans="4:19" x14ac:dyDescent="0.25">
      <c r="D244" t="str">
        <f>IF(C244="","",VLOOKUP(A244,Projects!A:B,2,FALSE))</f>
        <v/>
      </c>
      <c r="E244" s="1" t="str">
        <f t="shared" si="30"/>
        <v/>
      </c>
      <c r="F244" t="str">
        <f t="shared" si="31"/>
        <v/>
      </c>
      <c r="G244" t="str">
        <f>IF(C244="","",ProcessUrl(E244,F244))</f>
        <v/>
      </c>
      <c r="H244" t="str">
        <f t="shared" si="32"/>
        <v/>
      </c>
      <c r="I244" t="str">
        <f t="shared" si="33"/>
        <v/>
      </c>
      <c r="J244" t="str">
        <f>IF(C244="","",ProcessUrl(H244,I244))</f>
        <v/>
      </c>
      <c r="K244" s="7" t="str">
        <f t="shared" si="34"/>
        <v/>
      </c>
      <c r="L244" s="7" t="str">
        <f t="shared" si="35"/>
        <v/>
      </c>
      <c r="M244" s="7" t="str">
        <f t="shared" si="36"/>
        <v/>
      </c>
      <c r="N244" s="7" t="str">
        <f t="shared" si="37"/>
        <v/>
      </c>
      <c r="O244" s="7" t="str">
        <f t="shared" si="38"/>
        <v/>
      </c>
      <c r="P244" t="str">
        <f t="shared" si="39"/>
        <v/>
      </c>
      <c r="Q244" t="str">
        <f>IF(C244="","",ProcessUrl(P244,"GetTestResults"))</f>
        <v/>
      </c>
      <c r="R244" s="10" t="str">
        <f>IF(C244="","",JsProcess("JsonItem",JsProcess("JsonItem",Q244,"Passed"),"count"))</f>
        <v/>
      </c>
      <c r="S244" s="10" t="str">
        <f>IF(C244="","",JsProcess("JsonItem",JsProcess("JsonItem",Q244,"NotExecuted"),"count"))</f>
        <v/>
      </c>
    </row>
    <row r="245" spans="4:19" x14ac:dyDescent="0.25">
      <c r="D245" t="str">
        <f>IF(C245="","",VLOOKUP(A245,Projects!A:B,2,FALSE))</f>
        <v/>
      </c>
      <c r="E245" s="1" t="str">
        <f t="shared" si="30"/>
        <v/>
      </c>
      <c r="F245" t="str">
        <f t="shared" si="31"/>
        <v/>
      </c>
      <c r="G245" t="str">
        <f>IF(C245="","",ProcessUrl(E245,F245))</f>
        <v/>
      </c>
      <c r="H245" t="str">
        <f t="shared" si="32"/>
        <v/>
      </c>
      <c r="I245" t="str">
        <f t="shared" si="33"/>
        <v/>
      </c>
      <c r="J245" t="str">
        <f>IF(C245="","",ProcessUrl(H245,I245))</f>
        <v/>
      </c>
      <c r="K245" s="7" t="str">
        <f t="shared" si="34"/>
        <v/>
      </c>
      <c r="L245" s="7" t="str">
        <f t="shared" si="35"/>
        <v/>
      </c>
      <c r="M245" s="7" t="str">
        <f t="shared" si="36"/>
        <v/>
      </c>
      <c r="N245" s="7" t="str">
        <f t="shared" si="37"/>
        <v/>
      </c>
      <c r="O245" s="7" t="str">
        <f t="shared" si="38"/>
        <v/>
      </c>
      <c r="P245" t="str">
        <f t="shared" si="39"/>
        <v/>
      </c>
      <c r="Q245" t="str">
        <f>IF(C245="","",ProcessUrl(P245,"GetTestResults"))</f>
        <v/>
      </c>
      <c r="R245" s="10" t="str">
        <f>IF(C245="","",JsProcess("JsonItem",JsProcess("JsonItem",Q245,"Passed"),"count"))</f>
        <v/>
      </c>
      <c r="S245" s="10" t="str">
        <f>IF(C245="","",JsProcess("JsonItem",JsProcess("JsonItem",Q245,"NotExecuted"),"count"))</f>
        <v/>
      </c>
    </row>
    <row r="246" spans="4:19" x14ac:dyDescent="0.25">
      <c r="D246" t="str">
        <f>IF(C246="","",VLOOKUP(A246,Projects!A:B,2,FALSE))</f>
        <v/>
      </c>
      <c r="E246" s="1" t="str">
        <f t="shared" si="30"/>
        <v/>
      </c>
      <c r="F246" t="str">
        <f t="shared" si="31"/>
        <v/>
      </c>
      <c r="G246" t="str">
        <f>IF(C246="","",ProcessUrl(E246,F246))</f>
        <v/>
      </c>
      <c r="H246" t="str">
        <f t="shared" si="32"/>
        <v/>
      </c>
      <c r="I246" t="str">
        <f t="shared" si="33"/>
        <v/>
      </c>
      <c r="J246" t="str">
        <f>IF(C246="","",ProcessUrl(H246,I246))</f>
        <v/>
      </c>
      <c r="K246" s="7" t="str">
        <f t="shared" si="34"/>
        <v/>
      </c>
      <c r="L246" s="7" t="str">
        <f t="shared" si="35"/>
        <v/>
      </c>
      <c r="M246" s="7" t="str">
        <f t="shared" si="36"/>
        <v/>
      </c>
      <c r="N246" s="7" t="str">
        <f t="shared" si="37"/>
        <v/>
      </c>
      <c r="O246" s="7" t="str">
        <f t="shared" si="38"/>
        <v/>
      </c>
      <c r="P246" t="str">
        <f t="shared" si="39"/>
        <v/>
      </c>
      <c r="Q246" t="str">
        <f>IF(C246="","",ProcessUrl(P246,"GetTestResults"))</f>
        <v/>
      </c>
      <c r="R246" s="10" t="str">
        <f>IF(C246="","",JsProcess("JsonItem",JsProcess("JsonItem",Q246,"Passed"),"count"))</f>
        <v/>
      </c>
      <c r="S246" s="10" t="str">
        <f>IF(C246="","",JsProcess("JsonItem",JsProcess("JsonItem",Q246,"NotExecuted"),"count"))</f>
        <v/>
      </c>
    </row>
    <row r="247" spans="4:19" x14ac:dyDescent="0.25">
      <c r="D247" t="str">
        <f>IF(C247="","",VLOOKUP(A247,Projects!A:B,2,FALSE))</f>
        <v/>
      </c>
      <c r="E247" s="1" t="str">
        <f t="shared" si="30"/>
        <v/>
      </c>
      <c r="F247" t="str">
        <f t="shared" si="31"/>
        <v/>
      </c>
      <c r="G247" t="str">
        <f>IF(C247="","",ProcessUrl(E247,F247))</f>
        <v/>
      </c>
      <c r="H247" t="str">
        <f t="shared" si="32"/>
        <v/>
      </c>
      <c r="I247" t="str">
        <f t="shared" si="33"/>
        <v/>
      </c>
      <c r="J247" t="str">
        <f>IF(C247="","",ProcessUrl(H247,I247))</f>
        <v/>
      </c>
      <c r="K247" s="7" t="str">
        <f t="shared" si="34"/>
        <v/>
      </c>
      <c r="L247" s="7" t="str">
        <f t="shared" si="35"/>
        <v/>
      </c>
      <c r="M247" s="7" t="str">
        <f t="shared" si="36"/>
        <v/>
      </c>
      <c r="N247" s="7" t="str">
        <f t="shared" si="37"/>
        <v/>
      </c>
      <c r="O247" s="7" t="str">
        <f t="shared" si="38"/>
        <v/>
      </c>
      <c r="P247" t="str">
        <f t="shared" si="39"/>
        <v/>
      </c>
      <c r="Q247" t="str">
        <f>IF(C247="","",ProcessUrl(P247,"GetTestResults"))</f>
        <v/>
      </c>
      <c r="R247" s="10" t="str">
        <f>IF(C247="","",JsProcess("JsonItem",JsProcess("JsonItem",Q247,"Passed"),"count"))</f>
        <v/>
      </c>
      <c r="S247" s="10" t="str">
        <f>IF(C247="","",JsProcess("JsonItem",JsProcess("JsonItem",Q247,"NotExecuted"),"count"))</f>
        <v/>
      </c>
    </row>
    <row r="248" spans="4:19" x14ac:dyDescent="0.25">
      <c r="D248" t="str">
        <f>IF(C248="","",VLOOKUP(A248,Projects!A:B,2,FALSE))</f>
        <v/>
      </c>
      <c r="E248" s="1" t="str">
        <f t="shared" si="30"/>
        <v/>
      </c>
      <c r="F248" t="str">
        <f t="shared" si="31"/>
        <v/>
      </c>
      <c r="G248" t="str">
        <f>IF(C248="","",ProcessUrl(E248,F248))</f>
        <v/>
      </c>
      <c r="H248" t="str">
        <f t="shared" si="32"/>
        <v/>
      </c>
      <c r="I248" t="str">
        <f t="shared" si="33"/>
        <v/>
      </c>
      <c r="J248" t="str">
        <f>IF(C248="","",ProcessUrl(H248,I248))</f>
        <v/>
      </c>
      <c r="K248" s="7" t="str">
        <f t="shared" si="34"/>
        <v/>
      </c>
      <c r="L248" s="7" t="str">
        <f t="shared" si="35"/>
        <v/>
      </c>
      <c r="M248" s="7" t="str">
        <f t="shared" si="36"/>
        <v/>
      </c>
      <c r="N248" s="7" t="str">
        <f t="shared" si="37"/>
        <v/>
      </c>
      <c r="O248" s="7" t="str">
        <f t="shared" si="38"/>
        <v/>
      </c>
      <c r="P248" t="str">
        <f t="shared" si="39"/>
        <v/>
      </c>
      <c r="Q248" t="str">
        <f>IF(C248="","",ProcessUrl(P248,"GetTestResults"))</f>
        <v/>
      </c>
      <c r="R248" s="10" t="str">
        <f>IF(C248="","",JsProcess("JsonItem",JsProcess("JsonItem",Q248,"Passed"),"count"))</f>
        <v/>
      </c>
      <c r="S248" s="10" t="str">
        <f>IF(C248="","",JsProcess("JsonItem",JsProcess("JsonItem",Q248,"NotExecuted"),"count"))</f>
        <v/>
      </c>
    </row>
    <row r="249" spans="4:19" x14ac:dyDescent="0.25">
      <c r="D249" t="str">
        <f>IF(C249="","",VLOOKUP(A249,Projects!A:B,2,FALSE))</f>
        <v/>
      </c>
      <c r="E249" s="1" t="str">
        <f t="shared" si="30"/>
        <v/>
      </c>
      <c r="F249" t="str">
        <f t="shared" si="31"/>
        <v/>
      </c>
      <c r="G249" t="str">
        <f>IF(C249="","",ProcessUrl(E249,F249))</f>
        <v/>
      </c>
      <c r="H249" t="str">
        <f t="shared" si="32"/>
        <v/>
      </c>
      <c r="I249" t="str">
        <f t="shared" si="33"/>
        <v/>
      </c>
      <c r="J249" t="str">
        <f>IF(C249="","",ProcessUrl(H249,I249))</f>
        <v/>
      </c>
      <c r="K249" s="7" t="str">
        <f t="shared" si="34"/>
        <v/>
      </c>
      <c r="L249" s="7" t="str">
        <f t="shared" si="35"/>
        <v/>
      </c>
      <c r="M249" s="7" t="str">
        <f t="shared" si="36"/>
        <v/>
      </c>
      <c r="N249" s="7" t="str">
        <f t="shared" si="37"/>
        <v/>
      </c>
      <c r="O249" s="7" t="str">
        <f t="shared" si="38"/>
        <v/>
      </c>
      <c r="P249" t="str">
        <f t="shared" si="39"/>
        <v/>
      </c>
      <c r="Q249" t="str">
        <f>IF(C249="","",ProcessUrl(P249,"GetTestResults"))</f>
        <v/>
      </c>
      <c r="R249" s="10" t="str">
        <f>IF(C249="","",JsProcess("JsonItem",JsProcess("JsonItem",Q249,"Passed"),"count"))</f>
        <v/>
      </c>
      <c r="S249" s="10" t="str">
        <f>IF(C249="","",JsProcess("JsonItem",JsProcess("JsonItem",Q249,"NotExecuted"),"count"))</f>
        <v/>
      </c>
    </row>
    <row r="250" spans="4:19" x14ac:dyDescent="0.25">
      <c r="D250" t="str">
        <f>IF(C250="","",VLOOKUP(A250,Projects!A:B,2,FALSE))</f>
        <v/>
      </c>
      <c r="E250" s="1" t="str">
        <f t="shared" si="30"/>
        <v/>
      </c>
      <c r="F250" t="str">
        <f t="shared" si="31"/>
        <v/>
      </c>
      <c r="G250" t="str">
        <f>IF(C250="","",ProcessUrl(E250,F250))</f>
        <v/>
      </c>
      <c r="H250" t="str">
        <f t="shared" si="32"/>
        <v/>
      </c>
      <c r="I250" t="str">
        <f t="shared" si="33"/>
        <v/>
      </c>
      <c r="J250" t="str">
        <f>IF(C250="","",ProcessUrl(H250,I250))</f>
        <v/>
      </c>
      <c r="K250" s="7" t="str">
        <f t="shared" si="34"/>
        <v/>
      </c>
      <c r="L250" s="7" t="str">
        <f t="shared" si="35"/>
        <v/>
      </c>
      <c r="M250" s="7" t="str">
        <f t="shared" si="36"/>
        <v/>
      </c>
      <c r="N250" s="7" t="str">
        <f t="shared" si="37"/>
        <v/>
      </c>
      <c r="O250" s="7" t="str">
        <f t="shared" si="38"/>
        <v/>
      </c>
      <c r="P250" t="str">
        <f t="shared" si="39"/>
        <v/>
      </c>
      <c r="Q250" t="str">
        <f>IF(C250="","",ProcessUrl(P250,"GetTestResults"))</f>
        <v/>
      </c>
      <c r="R250" s="10" t="str">
        <f>IF(C250="","",JsProcess("JsonItem",JsProcess("JsonItem",Q250,"Passed"),"count"))</f>
        <v/>
      </c>
      <c r="S250" s="10" t="str">
        <f>IF(C250="","",JsProcess("JsonItem",JsProcess("JsonItem",Q250,"NotExecuted"),"count"))</f>
        <v/>
      </c>
    </row>
    <row r="251" spans="4:19" x14ac:dyDescent="0.25">
      <c r="D251" t="str">
        <f>IF(C251="","",VLOOKUP(A251,Projects!A:B,2,FALSE))</f>
        <v/>
      </c>
      <c r="E251" s="1" t="str">
        <f t="shared" si="30"/>
        <v/>
      </c>
      <c r="F251" t="str">
        <f t="shared" si="31"/>
        <v/>
      </c>
      <c r="G251" t="str">
        <f>IF(C251="","",ProcessUrl(E251,F251))</f>
        <v/>
      </c>
      <c r="H251" t="str">
        <f t="shared" si="32"/>
        <v/>
      </c>
      <c r="I251" t="str">
        <f t="shared" si="33"/>
        <v/>
      </c>
      <c r="J251" t="str">
        <f>IF(C251="","",ProcessUrl(H251,I251))</f>
        <v/>
      </c>
      <c r="K251" s="7" t="str">
        <f t="shared" si="34"/>
        <v/>
      </c>
      <c r="L251" s="7" t="str">
        <f t="shared" si="35"/>
        <v/>
      </c>
      <c r="M251" s="7" t="str">
        <f t="shared" si="36"/>
        <v/>
      </c>
      <c r="N251" s="7" t="str">
        <f t="shared" si="37"/>
        <v/>
      </c>
      <c r="O251" s="7" t="str">
        <f t="shared" si="38"/>
        <v/>
      </c>
      <c r="P251" t="str">
        <f t="shared" si="39"/>
        <v/>
      </c>
      <c r="Q251" t="str">
        <f>IF(C251="","",ProcessUrl(P251,"GetTestResults"))</f>
        <v/>
      </c>
      <c r="R251" s="10" t="str">
        <f>IF(C251="","",JsProcess("JsonItem",JsProcess("JsonItem",Q251,"Passed"),"count"))</f>
        <v/>
      </c>
      <c r="S251" s="10" t="str">
        <f>IF(C251="","",JsProcess("JsonItem",JsProcess("JsonItem",Q251,"NotExecuted"),"count"))</f>
        <v/>
      </c>
    </row>
    <row r="252" spans="4:19" x14ac:dyDescent="0.25">
      <c r="D252" t="str">
        <f>IF(C252="","",VLOOKUP(A252,Projects!A:B,2,FALSE))</f>
        <v/>
      </c>
      <c r="E252" s="1" t="str">
        <f t="shared" si="30"/>
        <v/>
      </c>
      <c r="F252" t="str">
        <f t="shared" si="31"/>
        <v/>
      </c>
      <c r="G252" t="str">
        <f>IF(C252="","",ProcessUrl(E252,F252))</f>
        <v/>
      </c>
      <c r="H252" t="str">
        <f t="shared" si="32"/>
        <v/>
      </c>
      <c r="I252" t="str">
        <f t="shared" si="33"/>
        <v/>
      </c>
      <c r="J252" t="str">
        <f>IF(C252="","",ProcessUrl(H252,I252))</f>
        <v/>
      </c>
      <c r="K252" s="7" t="str">
        <f t="shared" si="34"/>
        <v/>
      </c>
      <c r="L252" s="7" t="str">
        <f t="shared" si="35"/>
        <v/>
      </c>
      <c r="M252" s="7" t="str">
        <f t="shared" si="36"/>
        <v/>
      </c>
      <c r="N252" s="7" t="str">
        <f t="shared" si="37"/>
        <v/>
      </c>
      <c r="O252" s="7" t="str">
        <f t="shared" si="38"/>
        <v/>
      </c>
      <c r="P252" t="str">
        <f t="shared" si="39"/>
        <v/>
      </c>
      <c r="Q252" t="str">
        <f>IF(C252="","",ProcessUrl(P252,"GetTestResults"))</f>
        <v/>
      </c>
      <c r="R252" s="10" t="str">
        <f>IF(C252="","",JsProcess("JsonItem",JsProcess("JsonItem",Q252,"Passed"),"count"))</f>
        <v/>
      </c>
      <c r="S252" s="10" t="str">
        <f>IF(C252="","",JsProcess("JsonItem",JsProcess("JsonItem",Q252,"NotExecuted"),"count"))</f>
        <v/>
      </c>
    </row>
    <row r="253" spans="4:19" x14ac:dyDescent="0.25">
      <c r="D253" t="str">
        <f>IF(C253="","",VLOOKUP(A253,Projects!A:B,2,FALSE))</f>
        <v/>
      </c>
      <c r="E253" s="1" t="str">
        <f t="shared" si="30"/>
        <v/>
      </c>
      <c r="F253" t="str">
        <f t="shared" si="31"/>
        <v/>
      </c>
      <c r="G253" t="str">
        <f>IF(C253="","",ProcessUrl(E253,F253))</f>
        <v/>
      </c>
      <c r="H253" t="str">
        <f t="shared" si="32"/>
        <v/>
      </c>
      <c r="I253" t="str">
        <f t="shared" si="33"/>
        <v/>
      </c>
      <c r="J253" t="str">
        <f>IF(C253="","",ProcessUrl(H253,I253))</f>
        <v/>
      </c>
      <c r="K253" s="7" t="str">
        <f t="shared" si="34"/>
        <v/>
      </c>
      <c r="L253" s="7" t="str">
        <f t="shared" si="35"/>
        <v/>
      </c>
      <c r="M253" s="7" t="str">
        <f t="shared" si="36"/>
        <v/>
      </c>
      <c r="N253" s="7" t="str">
        <f t="shared" si="37"/>
        <v/>
      </c>
      <c r="O253" s="7" t="str">
        <f t="shared" si="38"/>
        <v/>
      </c>
      <c r="P253" t="str">
        <f t="shared" si="39"/>
        <v/>
      </c>
      <c r="Q253" t="str">
        <f>IF(C253="","",ProcessUrl(P253,"GetTestResults"))</f>
        <v/>
      </c>
      <c r="R253" s="10" t="str">
        <f>IF(C253="","",JsProcess("JsonItem",JsProcess("JsonItem",Q253,"Passed"),"count"))</f>
        <v/>
      </c>
      <c r="S253" s="10" t="str">
        <f>IF(C253="","",JsProcess("JsonItem",JsProcess("JsonItem",Q253,"NotExecuted"),"count"))</f>
        <v/>
      </c>
    </row>
    <row r="254" spans="4:19" x14ac:dyDescent="0.25">
      <c r="D254" t="str">
        <f>IF(C254="","",VLOOKUP(A254,Projects!A:B,2,FALSE))</f>
        <v/>
      </c>
      <c r="E254" s="1" t="str">
        <f t="shared" si="30"/>
        <v/>
      </c>
      <c r="F254" t="str">
        <f t="shared" si="31"/>
        <v/>
      </c>
      <c r="G254" t="str">
        <f>IF(C254="","",ProcessUrl(E254,F254))</f>
        <v/>
      </c>
      <c r="H254" t="str">
        <f t="shared" si="32"/>
        <v/>
      </c>
      <c r="I254" t="str">
        <f t="shared" si="33"/>
        <v/>
      </c>
      <c r="J254" t="str">
        <f>IF(C254="","",ProcessUrl(H254,I254))</f>
        <v/>
      </c>
      <c r="K254" s="7" t="str">
        <f t="shared" si="34"/>
        <v/>
      </c>
      <c r="L254" s="7" t="str">
        <f t="shared" si="35"/>
        <v/>
      </c>
      <c r="M254" s="7" t="str">
        <f t="shared" si="36"/>
        <v/>
      </c>
      <c r="N254" s="7" t="str">
        <f t="shared" si="37"/>
        <v/>
      </c>
      <c r="O254" s="7" t="str">
        <f t="shared" si="38"/>
        <v/>
      </c>
      <c r="P254" t="str">
        <f t="shared" si="39"/>
        <v/>
      </c>
      <c r="Q254" t="str">
        <f>IF(C254="","",ProcessUrl(P254,"GetTestResults"))</f>
        <v/>
      </c>
      <c r="R254" s="10" t="str">
        <f>IF(C254="","",JsProcess("JsonItem",JsProcess("JsonItem",Q254,"Passed"),"count"))</f>
        <v/>
      </c>
      <c r="S254" s="10" t="str">
        <f>IF(C254="","",JsProcess("JsonItem",JsProcess("JsonItem",Q254,"NotExecuted"),"count"))</f>
        <v/>
      </c>
    </row>
    <row r="255" spans="4:19" x14ac:dyDescent="0.25">
      <c r="D255" t="str">
        <f>IF(C255="","",VLOOKUP(A255,Projects!A:B,2,FALSE))</f>
        <v/>
      </c>
      <c r="E255" s="1" t="str">
        <f t="shared" si="30"/>
        <v/>
      </c>
      <c r="F255" t="str">
        <f t="shared" si="31"/>
        <v/>
      </c>
      <c r="G255" t="str">
        <f>IF(C255="","",ProcessUrl(E255,F255))</f>
        <v/>
      </c>
      <c r="H255" t="str">
        <f t="shared" si="32"/>
        <v/>
      </c>
      <c r="I255" t="str">
        <f t="shared" si="33"/>
        <v/>
      </c>
      <c r="J255" t="str">
        <f>IF(C255="","",ProcessUrl(H255,I255))</f>
        <v/>
      </c>
      <c r="K255" s="7" t="str">
        <f t="shared" si="34"/>
        <v/>
      </c>
      <c r="L255" s="7" t="str">
        <f t="shared" si="35"/>
        <v/>
      </c>
      <c r="M255" s="7" t="str">
        <f t="shared" si="36"/>
        <v/>
      </c>
      <c r="N255" s="7" t="str">
        <f t="shared" si="37"/>
        <v/>
      </c>
      <c r="O255" s="7" t="str">
        <f t="shared" si="38"/>
        <v/>
      </c>
      <c r="P255" t="str">
        <f t="shared" si="39"/>
        <v/>
      </c>
      <c r="Q255" t="str">
        <f>IF(C255="","",ProcessUrl(P255,"GetTestResults"))</f>
        <v/>
      </c>
      <c r="R255" s="10" t="str">
        <f>IF(C255="","",JsProcess("JsonItem",JsProcess("JsonItem",Q255,"Passed"),"count"))</f>
        <v/>
      </c>
      <c r="S255" s="10" t="str">
        <f>IF(C255="","",JsProcess("JsonItem",JsProcess("JsonItem",Q255,"NotExecuted"),"count"))</f>
        <v/>
      </c>
    </row>
    <row r="256" spans="4:19" x14ac:dyDescent="0.25">
      <c r="D256" t="str">
        <f>IF(C256="","",VLOOKUP(A256,Projects!A:B,2,FALSE))</f>
        <v/>
      </c>
      <c r="E256" s="1" t="str">
        <f t="shared" si="30"/>
        <v/>
      </c>
      <c r="F256" t="str">
        <f t="shared" si="31"/>
        <v/>
      </c>
      <c r="G256" t="str">
        <f>IF(C256="","",ProcessUrl(E256,F256))</f>
        <v/>
      </c>
      <c r="H256" t="str">
        <f t="shared" si="32"/>
        <v/>
      </c>
      <c r="I256" t="str">
        <f t="shared" si="33"/>
        <v/>
      </c>
      <c r="J256" t="str">
        <f>IF(C256="","",ProcessUrl(H256,I256))</f>
        <v/>
      </c>
      <c r="K256" s="7" t="str">
        <f t="shared" si="34"/>
        <v/>
      </c>
      <c r="L256" s="7" t="str">
        <f t="shared" si="35"/>
        <v/>
      </c>
      <c r="M256" s="7" t="str">
        <f t="shared" si="36"/>
        <v/>
      </c>
      <c r="N256" s="7" t="str">
        <f t="shared" si="37"/>
        <v/>
      </c>
      <c r="O256" s="7" t="str">
        <f t="shared" si="38"/>
        <v/>
      </c>
      <c r="P256" t="str">
        <f t="shared" si="39"/>
        <v/>
      </c>
      <c r="Q256" t="str">
        <f>IF(C256="","",ProcessUrl(P256,"GetTestResults"))</f>
        <v/>
      </c>
      <c r="R256" s="10" t="str">
        <f>IF(C256="","",JsProcess("JsonItem",JsProcess("JsonItem",Q256,"Passed"),"count"))</f>
        <v/>
      </c>
      <c r="S256" s="10" t="str">
        <f>IF(C256="","",JsProcess("JsonItem",JsProcess("JsonItem",Q256,"NotExecuted"),"count"))</f>
        <v/>
      </c>
    </row>
    <row r="257" spans="4:19" x14ac:dyDescent="0.25">
      <c r="D257" t="str">
        <f>IF(C257="","",VLOOKUP(A257,Projects!A:B,2,FALSE))</f>
        <v/>
      </c>
      <c r="E257" s="1" t="str">
        <f t="shared" si="30"/>
        <v/>
      </c>
      <c r="F257" t="str">
        <f t="shared" si="31"/>
        <v/>
      </c>
      <c r="G257" t="str">
        <f>IF(C257="","",ProcessUrl(E257,F257))</f>
        <v/>
      </c>
      <c r="H257" t="str">
        <f t="shared" si="32"/>
        <v/>
      </c>
      <c r="I257" t="str">
        <f t="shared" si="33"/>
        <v/>
      </c>
      <c r="J257" t="str">
        <f>IF(C257="","",ProcessUrl(H257,I257))</f>
        <v/>
      </c>
      <c r="K257" s="7" t="str">
        <f t="shared" si="34"/>
        <v/>
      </c>
      <c r="L257" s="7" t="str">
        <f t="shared" si="35"/>
        <v/>
      </c>
      <c r="M257" s="7" t="str">
        <f t="shared" si="36"/>
        <v/>
      </c>
      <c r="N257" s="7" t="str">
        <f t="shared" si="37"/>
        <v/>
      </c>
      <c r="O257" s="7" t="str">
        <f t="shared" si="38"/>
        <v/>
      </c>
      <c r="P257" t="str">
        <f t="shared" si="39"/>
        <v/>
      </c>
      <c r="Q257" t="str">
        <f>IF(C257="","",ProcessUrl(P257,"GetTestResults"))</f>
        <v/>
      </c>
      <c r="R257" s="10" t="str">
        <f>IF(C257="","",JsProcess("JsonItem",JsProcess("JsonItem",Q257,"Passed"),"count"))</f>
        <v/>
      </c>
      <c r="S257" s="10" t="str">
        <f>IF(C257="","",JsProcess("JsonItem",JsProcess("JsonItem",Q257,"NotExecuted"),"count"))</f>
        <v/>
      </c>
    </row>
    <row r="258" spans="4:19" x14ac:dyDescent="0.25">
      <c r="D258" t="str">
        <f>IF(C258="","",VLOOKUP(A258,Projects!A:B,2,FALSE))</f>
        <v/>
      </c>
      <c r="E258" s="1" t="str">
        <f t="shared" si="30"/>
        <v/>
      </c>
      <c r="F258" t="str">
        <f t="shared" si="31"/>
        <v/>
      </c>
      <c r="G258" t="str">
        <f>IF(C258="","",ProcessUrl(E258,F258))</f>
        <v/>
      </c>
      <c r="H258" t="str">
        <f t="shared" si="32"/>
        <v/>
      </c>
      <c r="I258" t="str">
        <f t="shared" si="33"/>
        <v/>
      </c>
      <c r="J258" t="str">
        <f>IF(C258="","",ProcessUrl(H258,I258))</f>
        <v/>
      </c>
      <c r="K258" s="7" t="str">
        <f t="shared" si="34"/>
        <v/>
      </c>
      <c r="L258" s="7" t="str">
        <f t="shared" si="35"/>
        <v/>
      </c>
      <c r="M258" s="7" t="str">
        <f t="shared" si="36"/>
        <v/>
      </c>
      <c r="N258" s="7" t="str">
        <f t="shared" si="37"/>
        <v/>
      </c>
      <c r="O258" s="7" t="str">
        <f t="shared" si="38"/>
        <v/>
      </c>
      <c r="P258" t="str">
        <f t="shared" si="39"/>
        <v/>
      </c>
      <c r="Q258" t="str">
        <f>IF(C258="","",ProcessUrl(P258,"GetTestResults"))</f>
        <v/>
      </c>
      <c r="R258" s="10" t="str">
        <f>IF(C258="","",JsProcess("JsonItem",JsProcess("JsonItem",Q258,"Passed"),"count"))</f>
        <v/>
      </c>
      <c r="S258" s="10" t="str">
        <f>IF(C258="","",JsProcess("JsonItem",JsProcess("JsonItem",Q258,"NotExecuted"),"count"))</f>
        <v/>
      </c>
    </row>
    <row r="259" spans="4:19" x14ac:dyDescent="0.25">
      <c r="D259" t="str">
        <f>IF(C259="","",VLOOKUP(A259,Projects!A:B,2,FALSE))</f>
        <v/>
      </c>
      <c r="E259" s="1" t="str">
        <f t="shared" si="30"/>
        <v/>
      </c>
      <c r="F259" t="str">
        <f t="shared" si="31"/>
        <v/>
      </c>
      <c r="G259" t="str">
        <f>IF(C259="","",ProcessUrl(E259,F259))</f>
        <v/>
      </c>
      <c r="H259" t="str">
        <f t="shared" si="32"/>
        <v/>
      </c>
      <c r="I259" t="str">
        <f t="shared" si="33"/>
        <v/>
      </c>
      <c r="J259" t="str">
        <f>IF(C259="","",ProcessUrl(H259,I259))</f>
        <v/>
      </c>
      <c r="K259" s="7" t="str">
        <f t="shared" si="34"/>
        <v/>
      </c>
      <c r="L259" s="7" t="str">
        <f t="shared" si="35"/>
        <v/>
      </c>
      <c r="M259" s="7" t="str">
        <f t="shared" si="36"/>
        <v/>
      </c>
      <c r="N259" s="7" t="str">
        <f t="shared" si="37"/>
        <v/>
      </c>
      <c r="O259" s="7" t="str">
        <f t="shared" si="38"/>
        <v/>
      </c>
      <c r="P259" t="str">
        <f t="shared" si="39"/>
        <v/>
      </c>
      <c r="Q259" t="str">
        <f>IF(C259="","",ProcessUrl(P259,"GetTestResults"))</f>
        <v/>
      </c>
      <c r="R259" s="10" t="str">
        <f>IF(C259="","",JsProcess("JsonItem",JsProcess("JsonItem",Q259,"Passed"),"count"))</f>
        <v/>
      </c>
      <c r="S259" s="10" t="str">
        <f>IF(C259="","",JsProcess("JsonItem",JsProcess("JsonItem",Q259,"NotExecuted"),"count"))</f>
        <v/>
      </c>
    </row>
    <row r="260" spans="4:19" x14ac:dyDescent="0.25">
      <c r="D260" t="str">
        <f>IF(C260="","",VLOOKUP(A260,Projects!A:B,2,FALSE))</f>
        <v/>
      </c>
      <c r="E260" s="1" t="str">
        <f t="shared" ref="E260:E323" si="40">IF(C260="","","http://tfs.ttx.com:8080/tfs/DefaultCollection/"&amp;D260&amp;"/_apis/build/Builds?%24top=25&amp;statusFilter=2&amp;definitions="&amp;C260)</f>
        <v/>
      </c>
      <c r="F260" t="str">
        <f t="shared" ref="F260:F323" si="41">IF(C260="","","GetRecentBuildId")</f>
        <v/>
      </c>
      <c r="G260" t="str">
        <f>IF(C260="","",ProcessUrl(E260,F260))</f>
        <v/>
      </c>
      <c r="H260" t="str">
        <f t="shared" ref="H260:H323" si="42">IF(C260="","","http://tfs.ttx.com:8080/tfs/DefaultCollection/"&amp;D260&amp;"/_apis/test/CodeCoverage?buildId="&amp;G260&amp;"&amp;flags=1")</f>
        <v/>
      </c>
      <c r="I260" t="str">
        <f t="shared" ref="I260:I323" si="43">IF(C260="","","GetCodeCoverage")</f>
        <v/>
      </c>
      <c r="J260" t="str">
        <f>IF(C260="","",ProcessUrl(H260,I260))</f>
        <v/>
      </c>
      <c r="K260" s="7" t="str">
        <f t="shared" ref="K260:K323" si="44">IF(C260="","",JsProcess("JsonItem",J260,"blocksCovered"))</f>
        <v/>
      </c>
      <c r="L260" s="7" t="str">
        <f t="shared" ref="L260:L323" si="45">IF(C260="","",JsProcess("JsonItem",J260,"blocksNotCovered"))</f>
        <v/>
      </c>
      <c r="M260" s="7" t="str">
        <f t="shared" ref="M260:M323" si="46">IF(C260="","",JsProcess("JsonItem",J260,"linesCovered"))</f>
        <v/>
      </c>
      <c r="N260" s="7" t="str">
        <f t="shared" ref="N260:N323" si="47">IF(C260="","",JsProcess("JsonItem",J260,"linesNotCovered"))</f>
        <v/>
      </c>
      <c r="O260" s="7" t="str">
        <f t="shared" ref="O260:O323" si="48">IF(C260="","",JsProcess("JsonItem",J260,"linesPartiallyCovered"))</f>
        <v/>
      </c>
      <c r="P260" t="str">
        <f t="shared" ref="P260:P323" si="49">IF(C260="","","http://tfs.ttx.com:8080/tfs/DefaultCollection/"&amp;A260&amp;"/_apis/test/ReportForBuild/"&amp;G260&amp;"?sourceWorkflow=CI&amp;includeFailureDetails=true ")</f>
        <v/>
      </c>
      <c r="Q260" t="str">
        <f>IF(C260="","",ProcessUrl(P260,"GetTestResults"))</f>
        <v/>
      </c>
      <c r="R260" s="10" t="str">
        <f>IF(C260="","",JsProcess("JsonItem",JsProcess("JsonItem",Q260,"Passed"),"count"))</f>
        <v/>
      </c>
      <c r="S260" s="10" t="str">
        <f>IF(C260="","",JsProcess("JsonItem",JsProcess("JsonItem",Q260,"NotExecuted"),"count"))</f>
        <v/>
      </c>
    </row>
    <row r="261" spans="4:19" x14ac:dyDescent="0.25">
      <c r="D261" t="str">
        <f>IF(C261="","",VLOOKUP(A261,Projects!A:B,2,FALSE))</f>
        <v/>
      </c>
      <c r="E261" s="1" t="str">
        <f t="shared" si="40"/>
        <v/>
      </c>
      <c r="F261" t="str">
        <f t="shared" si="41"/>
        <v/>
      </c>
      <c r="G261" t="str">
        <f>IF(C261="","",ProcessUrl(E261,F261))</f>
        <v/>
      </c>
      <c r="H261" t="str">
        <f t="shared" si="42"/>
        <v/>
      </c>
      <c r="I261" t="str">
        <f t="shared" si="43"/>
        <v/>
      </c>
      <c r="J261" t="str">
        <f>IF(C261="","",ProcessUrl(H261,I261))</f>
        <v/>
      </c>
      <c r="K261" s="7" t="str">
        <f t="shared" si="44"/>
        <v/>
      </c>
      <c r="L261" s="7" t="str">
        <f t="shared" si="45"/>
        <v/>
      </c>
      <c r="M261" s="7" t="str">
        <f t="shared" si="46"/>
        <v/>
      </c>
      <c r="N261" s="7" t="str">
        <f t="shared" si="47"/>
        <v/>
      </c>
      <c r="O261" s="7" t="str">
        <f t="shared" si="48"/>
        <v/>
      </c>
      <c r="P261" t="str">
        <f t="shared" si="49"/>
        <v/>
      </c>
      <c r="Q261" t="str">
        <f>IF(C261="","",ProcessUrl(P261,"GetTestResults"))</f>
        <v/>
      </c>
      <c r="R261" s="10" t="str">
        <f>IF(C261="","",JsProcess("JsonItem",JsProcess("JsonItem",Q261,"Passed"),"count"))</f>
        <v/>
      </c>
      <c r="S261" s="10" t="str">
        <f>IF(C261="","",JsProcess("JsonItem",JsProcess("JsonItem",Q261,"NotExecuted"),"count"))</f>
        <v/>
      </c>
    </row>
    <row r="262" spans="4:19" x14ac:dyDescent="0.25">
      <c r="D262" t="str">
        <f>IF(C262="","",VLOOKUP(A262,Projects!A:B,2,FALSE))</f>
        <v/>
      </c>
      <c r="E262" s="1" t="str">
        <f t="shared" si="40"/>
        <v/>
      </c>
      <c r="F262" t="str">
        <f t="shared" si="41"/>
        <v/>
      </c>
      <c r="G262" t="str">
        <f>IF(C262="","",ProcessUrl(E262,F262))</f>
        <v/>
      </c>
      <c r="H262" t="str">
        <f t="shared" si="42"/>
        <v/>
      </c>
      <c r="I262" t="str">
        <f t="shared" si="43"/>
        <v/>
      </c>
      <c r="J262" t="str">
        <f>IF(C262="","",ProcessUrl(H262,I262))</f>
        <v/>
      </c>
      <c r="K262" s="7" t="str">
        <f t="shared" si="44"/>
        <v/>
      </c>
      <c r="L262" s="7" t="str">
        <f t="shared" si="45"/>
        <v/>
      </c>
      <c r="M262" s="7" t="str">
        <f t="shared" si="46"/>
        <v/>
      </c>
      <c r="N262" s="7" t="str">
        <f t="shared" si="47"/>
        <v/>
      </c>
      <c r="O262" s="7" t="str">
        <f t="shared" si="48"/>
        <v/>
      </c>
      <c r="P262" t="str">
        <f t="shared" si="49"/>
        <v/>
      </c>
      <c r="Q262" t="str">
        <f>IF(C262="","",ProcessUrl(P262,"GetTestResults"))</f>
        <v/>
      </c>
      <c r="R262" s="10" t="str">
        <f>IF(C262="","",JsProcess("JsonItem",JsProcess("JsonItem",Q262,"Passed"),"count"))</f>
        <v/>
      </c>
      <c r="S262" s="10" t="str">
        <f>IF(C262="","",JsProcess("JsonItem",JsProcess("JsonItem",Q262,"NotExecuted"),"count"))</f>
        <v/>
      </c>
    </row>
    <row r="263" spans="4:19" x14ac:dyDescent="0.25">
      <c r="D263" t="str">
        <f>IF(C263="","",VLOOKUP(A263,Projects!A:B,2,FALSE))</f>
        <v/>
      </c>
      <c r="E263" s="1" t="str">
        <f t="shared" si="40"/>
        <v/>
      </c>
      <c r="F263" t="str">
        <f t="shared" si="41"/>
        <v/>
      </c>
      <c r="G263" t="str">
        <f>IF(C263="","",ProcessUrl(E263,F263))</f>
        <v/>
      </c>
      <c r="H263" t="str">
        <f t="shared" si="42"/>
        <v/>
      </c>
      <c r="I263" t="str">
        <f t="shared" si="43"/>
        <v/>
      </c>
      <c r="J263" t="str">
        <f>IF(C263="","",ProcessUrl(H263,I263))</f>
        <v/>
      </c>
      <c r="K263" s="7" t="str">
        <f t="shared" si="44"/>
        <v/>
      </c>
      <c r="L263" s="7" t="str">
        <f t="shared" si="45"/>
        <v/>
      </c>
      <c r="M263" s="7" t="str">
        <f t="shared" si="46"/>
        <v/>
      </c>
      <c r="N263" s="7" t="str">
        <f t="shared" si="47"/>
        <v/>
      </c>
      <c r="O263" s="7" t="str">
        <f t="shared" si="48"/>
        <v/>
      </c>
      <c r="P263" t="str">
        <f t="shared" si="49"/>
        <v/>
      </c>
      <c r="Q263" t="str">
        <f>IF(C263="","",ProcessUrl(P263,"GetTestResults"))</f>
        <v/>
      </c>
      <c r="R263" s="10" t="str">
        <f>IF(C263="","",JsProcess("JsonItem",JsProcess("JsonItem",Q263,"Passed"),"count"))</f>
        <v/>
      </c>
      <c r="S263" s="10" t="str">
        <f>IF(C263="","",JsProcess("JsonItem",JsProcess("JsonItem",Q263,"NotExecuted"),"count"))</f>
        <v/>
      </c>
    </row>
    <row r="264" spans="4:19" x14ac:dyDescent="0.25">
      <c r="D264" t="str">
        <f>IF(C264="","",VLOOKUP(A264,Projects!A:B,2,FALSE))</f>
        <v/>
      </c>
      <c r="E264" s="1" t="str">
        <f t="shared" si="40"/>
        <v/>
      </c>
      <c r="F264" t="str">
        <f t="shared" si="41"/>
        <v/>
      </c>
      <c r="G264" t="str">
        <f>IF(C264="","",ProcessUrl(E264,F264))</f>
        <v/>
      </c>
      <c r="H264" t="str">
        <f t="shared" si="42"/>
        <v/>
      </c>
      <c r="I264" t="str">
        <f t="shared" si="43"/>
        <v/>
      </c>
      <c r="J264" t="str">
        <f>IF(C264="","",ProcessUrl(H264,I264))</f>
        <v/>
      </c>
      <c r="K264" s="7" t="str">
        <f t="shared" si="44"/>
        <v/>
      </c>
      <c r="L264" s="7" t="str">
        <f t="shared" si="45"/>
        <v/>
      </c>
      <c r="M264" s="7" t="str">
        <f t="shared" si="46"/>
        <v/>
      </c>
      <c r="N264" s="7" t="str">
        <f t="shared" si="47"/>
        <v/>
      </c>
      <c r="O264" s="7" t="str">
        <f t="shared" si="48"/>
        <v/>
      </c>
      <c r="P264" t="str">
        <f t="shared" si="49"/>
        <v/>
      </c>
      <c r="Q264" t="str">
        <f>IF(C264="","",ProcessUrl(P264,"GetTestResults"))</f>
        <v/>
      </c>
      <c r="R264" s="10" t="str">
        <f>IF(C264="","",JsProcess("JsonItem",JsProcess("JsonItem",Q264,"Passed"),"count"))</f>
        <v/>
      </c>
      <c r="S264" s="10" t="str">
        <f>IF(C264="","",JsProcess("JsonItem",JsProcess("JsonItem",Q264,"NotExecuted"),"count"))</f>
        <v/>
      </c>
    </row>
    <row r="265" spans="4:19" x14ac:dyDescent="0.25">
      <c r="D265" t="str">
        <f>IF(C265="","",VLOOKUP(A265,Projects!A:B,2,FALSE))</f>
        <v/>
      </c>
      <c r="E265" s="1" t="str">
        <f t="shared" si="40"/>
        <v/>
      </c>
      <c r="F265" t="str">
        <f t="shared" si="41"/>
        <v/>
      </c>
      <c r="G265" t="str">
        <f>IF(C265="","",ProcessUrl(E265,F265))</f>
        <v/>
      </c>
      <c r="H265" t="str">
        <f t="shared" si="42"/>
        <v/>
      </c>
      <c r="I265" t="str">
        <f t="shared" si="43"/>
        <v/>
      </c>
      <c r="J265" t="str">
        <f>IF(C265="","",ProcessUrl(H265,I265))</f>
        <v/>
      </c>
      <c r="K265" s="7" t="str">
        <f t="shared" si="44"/>
        <v/>
      </c>
      <c r="L265" s="7" t="str">
        <f t="shared" si="45"/>
        <v/>
      </c>
      <c r="M265" s="7" t="str">
        <f t="shared" si="46"/>
        <v/>
      </c>
      <c r="N265" s="7" t="str">
        <f t="shared" si="47"/>
        <v/>
      </c>
      <c r="O265" s="7" t="str">
        <f t="shared" si="48"/>
        <v/>
      </c>
      <c r="P265" t="str">
        <f t="shared" si="49"/>
        <v/>
      </c>
      <c r="Q265" t="str">
        <f>IF(C265="","",ProcessUrl(P265,"GetTestResults"))</f>
        <v/>
      </c>
      <c r="R265" s="10" t="str">
        <f>IF(C265="","",JsProcess("JsonItem",JsProcess("JsonItem",Q265,"Passed"),"count"))</f>
        <v/>
      </c>
      <c r="S265" s="10" t="str">
        <f>IF(C265="","",JsProcess("JsonItem",JsProcess("JsonItem",Q265,"NotExecuted"),"count"))</f>
        <v/>
      </c>
    </row>
    <row r="266" spans="4:19" x14ac:dyDescent="0.25">
      <c r="D266" t="str">
        <f>IF(C266="","",VLOOKUP(A266,Projects!A:B,2,FALSE))</f>
        <v/>
      </c>
      <c r="E266" s="1" t="str">
        <f t="shared" si="40"/>
        <v/>
      </c>
      <c r="F266" t="str">
        <f t="shared" si="41"/>
        <v/>
      </c>
      <c r="G266" t="str">
        <f>IF(C266="","",ProcessUrl(E266,F266))</f>
        <v/>
      </c>
      <c r="H266" t="str">
        <f t="shared" si="42"/>
        <v/>
      </c>
      <c r="I266" t="str">
        <f t="shared" si="43"/>
        <v/>
      </c>
      <c r="J266" t="str">
        <f>IF(C266="","",ProcessUrl(H266,I266))</f>
        <v/>
      </c>
      <c r="K266" s="7" t="str">
        <f t="shared" si="44"/>
        <v/>
      </c>
      <c r="L266" s="7" t="str">
        <f t="shared" si="45"/>
        <v/>
      </c>
      <c r="M266" s="7" t="str">
        <f t="shared" si="46"/>
        <v/>
      </c>
      <c r="N266" s="7" t="str">
        <f t="shared" si="47"/>
        <v/>
      </c>
      <c r="O266" s="7" t="str">
        <f t="shared" si="48"/>
        <v/>
      </c>
      <c r="P266" t="str">
        <f t="shared" si="49"/>
        <v/>
      </c>
      <c r="Q266" t="str">
        <f>IF(C266="","",ProcessUrl(P266,"GetTestResults"))</f>
        <v/>
      </c>
      <c r="R266" s="10" t="str">
        <f>IF(C266="","",JsProcess("JsonItem",JsProcess("JsonItem",Q266,"Passed"),"count"))</f>
        <v/>
      </c>
      <c r="S266" s="10" t="str">
        <f>IF(C266="","",JsProcess("JsonItem",JsProcess("JsonItem",Q266,"NotExecuted"),"count"))</f>
        <v/>
      </c>
    </row>
    <row r="267" spans="4:19" x14ac:dyDescent="0.25">
      <c r="D267" t="str">
        <f>IF(C267="","",VLOOKUP(A267,Projects!A:B,2,FALSE))</f>
        <v/>
      </c>
      <c r="E267" s="1" t="str">
        <f t="shared" si="40"/>
        <v/>
      </c>
      <c r="F267" t="str">
        <f t="shared" si="41"/>
        <v/>
      </c>
      <c r="G267" t="str">
        <f>IF(C267="","",ProcessUrl(E267,F267))</f>
        <v/>
      </c>
      <c r="H267" t="str">
        <f t="shared" si="42"/>
        <v/>
      </c>
      <c r="I267" t="str">
        <f t="shared" si="43"/>
        <v/>
      </c>
      <c r="J267" t="str">
        <f>IF(C267="","",ProcessUrl(H267,I267))</f>
        <v/>
      </c>
      <c r="K267" s="7" t="str">
        <f t="shared" si="44"/>
        <v/>
      </c>
      <c r="L267" s="7" t="str">
        <f t="shared" si="45"/>
        <v/>
      </c>
      <c r="M267" s="7" t="str">
        <f t="shared" si="46"/>
        <v/>
      </c>
      <c r="N267" s="7" t="str">
        <f t="shared" si="47"/>
        <v/>
      </c>
      <c r="O267" s="7" t="str">
        <f t="shared" si="48"/>
        <v/>
      </c>
      <c r="P267" t="str">
        <f t="shared" si="49"/>
        <v/>
      </c>
      <c r="Q267" t="str">
        <f>IF(C267="","",ProcessUrl(P267,"GetTestResults"))</f>
        <v/>
      </c>
      <c r="R267" s="10" t="str">
        <f>IF(C267="","",JsProcess("JsonItem",JsProcess("JsonItem",Q267,"Passed"),"count"))</f>
        <v/>
      </c>
      <c r="S267" s="10" t="str">
        <f>IF(C267="","",JsProcess("JsonItem",JsProcess("JsonItem",Q267,"NotExecuted"),"count"))</f>
        <v/>
      </c>
    </row>
    <row r="268" spans="4:19" x14ac:dyDescent="0.25">
      <c r="D268" t="str">
        <f>IF(C268="","",VLOOKUP(A268,Projects!A:B,2,FALSE))</f>
        <v/>
      </c>
      <c r="E268" s="1" t="str">
        <f t="shared" si="40"/>
        <v/>
      </c>
      <c r="F268" t="str">
        <f t="shared" si="41"/>
        <v/>
      </c>
      <c r="G268" t="str">
        <f>IF(C268="","",ProcessUrl(E268,F268))</f>
        <v/>
      </c>
      <c r="H268" t="str">
        <f t="shared" si="42"/>
        <v/>
      </c>
      <c r="I268" t="str">
        <f t="shared" si="43"/>
        <v/>
      </c>
      <c r="J268" t="str">
        <f>IF(C268="","",ProcessUrl(H268,I268))</f>
        <v/>
      </c>
      <c r="K268" s="7" t="str">
        <f t="shared" si="44"/>
        <v/>
      </c>
      <c r="L268" s="7" t="str">
        <f t="shared" si="45"/>
        <v/>
      </c>
      <c r="M268" s="7" t="str">
        <f t="shared" si="46"/>
        <v/>
      </c>
      <c r="N268" s="7" t="str">
        <f t="shared" si="47"/>
        <v/>
      </c>
      <c r="O268" s="7" t="str">
        <f t="shared" si="48"/>
        <v/>
      </c>
      <c r="P268" t="str">
        <f t="shared" si="49"/>
        <v/>
      </c>
      <c r="Q268" t="str">
        <f>IF(C268="","",ProcessUrl(P268,"GetTestResults"))</f>
        <v/>
      </c>
      <c r="R268" s="10" t="str">
        <f>IF(C268="","",JsProcess("JsonItem",JsProcess("JsonItem",Q268,"Passed"),"count"))</f>
        <v/>
      </c>
      <c r="S268" s="10" t="str">
        <f>IF(C268="","",JsProcess("JsonItem",JsProcess("JsonItem",Q268,"NotExecuted"),"count"))</f>
        <v/>
      </c>
    </row>
    <row r="269" spans="4:19" x14ac:dyDescent="0.25">
      <c r="D269" t="str">
        <f>IF(C269="","",VLOOKUP(A269,Projects!A:B,2,FALSE))</f>
        <v/>
      </c>
      <c r="E269" s="1" t="str">
        <f t="shared" si="40"/>
        <v/>
      </c>
      <c r="F269" t="str">
        <f t="shared" si="41"/>
        <v/>
      </c>
      <c r="G269" t="str">
        <f>IF(C269="","",ProcessUrl(E269,F269))</f>
        <v/>
      </c>
      <c r="H269" t="str">
        <f t="shared" si="42"/>
        <v/>
      </c>
      <c r="I269" t="str">
        <f t="shared" si="43"/>
        <v/>
      </c>
      <c r="J269" t="str">
        <f>IF(C269="","",ProcessUrl(H269,I269))</f>
        <v/>
      </c>
      <c r="K269" s="7" t="str">
        <f t="shared" si="44"/>
        <v/>
      </c>
      <c r="L269" s="7" t="str">
        <f t="shared" si="45"/>
        <v/>
      </c>
      <c r="M269" s="7" t="str">
        <f t="shared" si="46"/>
        <v/>
      </c>
      <c r="N269" s="7" t="str">
        <f t="shared" si="47"/>
        <v/>
      </c>
      <c r="O269" s="7" t="str">
        <f t="shared" si="48"/>
        <v/>
      </c>
      <c r="P269" t="str">
        <f t="shared" si="49"/>
        <v/>
      </c>
      <c r="Q269" t="str">
        <f>IF(C269="","",ProcessUrl(P269,"GetTestResults"))</f>
        <v/>
      </c>
      <c r="R269" s="10" t="str">
        <f>IF(C269="","",JsProcess("JsonItem",JsProcess("JsonItem",Q269,"Passed"),"count"))</f>
        <v/>
      </c>
      <c r="S269" s="10" t="str">
        <f>IF(C269="","",JsProcess("JsonItem",JsProcess("JsonItem",Q269,"NotExecuted"),"count"))</f>
        <v/>
      </c>
    </row>
    <row r="270" spans="4:19" x14ac:dyDescent="0.25">
      <c r="D270" t="str">
        <f>IF(C270="","",VLOOKUP(A270,Projects!A:B,2,FALSE))</f>
        <v/>
      </c>
      <c r="E270" s="1" t="str">
        <f t="shared" si="40"/>
        <v/>
      </c>
      <c r="F270" t="str">
        <f t="shared" si="41"/>
        <v/>
      </c>
      <c r="G270" t="str">
        <f>IF(C270="","",ProcessUrl(E270,F270))</f>
        <v/>
      </c>
      <c r="H270" t="str">
        <f t="shared" si="42"/>
        <v/>
      </c>
      <c r="I270" t="str">
        <f t="shared" si="43"/>
        <v/>
      </c>
      <c r="J270" t="str">
        <f>IF(C270="","",ProcessUrl(H270,I270))</f>
        <v/>
      </c>
      <c r="K270" s="7" t="str">
        <f t="shared" si="44"/>
        <v/>
      </c>
      <c r="L270" s="7" t="str">
        <f t="shared" si="45"/>
        <v/>
      </c>
      <c r="M270" s="7" t="str">
        <f t="shared" si="46"/>
        <v/>
      </c>
      <c r="N270" s="7" t="str">
        <f t="shared" si="47"/>
        <v/>
      </c>
      <c r="O270" s="7" t="str">
        <f t="shared" si="48"/>
        <v/>
      </c>
      <c r="P270" t="str">
        <f t="shared" si="49"/>
        <v/>
      </c>
      <c r="Q270" t="str">
        <f>IF(C270="","",ProcessUrl(P270,"GetTestResults"))</f>
        <v/>
      </c>
      <c r="R270" s="10" t="str">
        <f>IF(C270="","",JsProcess("JsonItem",JsProcess("JsonItem",Q270,"Passed"),"count"))</f>
        <v/>
      </c>
      <c r="S270" s="10" t="str">
        <f>IF(C270="","",JsProcess("JsonItem",JsProcess("JsonItem",Q270,"NotExecuted"),"count"))</f>
        <v/>
      </c>
    </row>
    <row r="271" spans="4:19" x14ac:dyDescent="0.25">
      <c r="D271" t="str">
        <f>IF(C271="","",VLOOKUP(A271,Projects!A:B,2,FALSE))</f>
        <v/>
      </c>
      <c r="E271" s="1" t="str">
        <f t="shared" si="40"/>
        <v/>
      </c>
      <c r="F271" t="str">
        <f t="shared" si="41"/>
        <v/>
      </c>
      <c r="G271" t="str">
        <f>IF(C271="","",ProcessUrl(E271,F271))</f>
        <v/>
      </c>
      <c r="H271" t="str">
        <f t="shared" si="42"/>
        <v/>
      </c>
      <c r="I271" t="str">
        <f t="shared" si="43"/>
        <v/>
      </c>
      <c r="J271" t="str">
        <f>IF(C271="","",ProcessUrl(H271,I271))</f>
        <v/>
      </c>
      <c r="K271" s="7" t="str">
        <f t="shared" si="44"/>
        <v/>
      </c>
      <c r="L271" s="7" t="str">
        <f t="shared" si="45"/>
        <v/>
      </c>
      <c r="M271" s="7" t="str">
        <f t="shared" si="46"/>
        <v/>
      </c>
      <c r="N271" s="7" t="str">
        <f t="shared" si="47"/>
        <v/>
      </c>
      <c r="O271" s="7" t="str">
        <f t="shared" si="48"/>
        <v/>
      </c>
      <c r="P271" t="str">
        <f t="shared" si="49"/>
        <v/>
      </c>
      <c r="Q271" t="str">
        <f>IF(C271="","",ProcessUrl(P271,"GetTestResults"))</f>
        <v/>
      </c>
      <c r="R271" s="10" t="str">
        <f>IF(C271="","",JsProcess("JsonItem",JsProcess("JsonItem",Q271,"Passed"),"count"))</f>
        <v/>
      </c>
      <c r="S271" s="10" t="str">
        <f>IF(C271="","",JsProcess("JsonItem",JsProcess("JsonItem",Q271,"NotExecuted"),"count"))</f>
        <v/>
      </c>
    </row>
    <row r="272" spans="4:19" x14ac:dyDescent="0.25">
      <c r="D272" t="str">
        <f>IF(C272="","",VLOOKUP(A272,Projects!A:B,2,FALSE))</f>
        <v/>
      </c>
      <c r="E272" s="1" t="str">
        <f t="shared" si="40"/>
        <v/>
      </c>
      <c r="F272" t="str">
        <f t="shared" si="41"/>
        <v/>
      </c>
      <c r="G272" t="str">
        <f>IF(C272="","",ProcessUrl(E272,F272))</f>
        <v/>
      </c>
      <c r="H272" t="str">
        <f t="shared" si="42"/>
        <v/>
      </c>
      <c r="I272" t="str">
        <f t="shared" si="43"/>
        <v/>
      </c>
      <c r="J272" t="str">
        <f>IF(C272="","",ProcessUrl(H272,I272))</f>
        <v/>
      </c>
      <c r="K272" s="7" t="str">
        <f t="shared" si="44"/>
        <v/>
      </c>
      <c r="L272" s="7" t="str">
        <f t="shared" si="45"/>
        <v/>
      </c>
      <c r="M272" s="7" t="str">
        <f t="shared" si="46"/>
        <v/>
      </c>
      <c r="N272" s="7" t="str">
        <f t="shared" si="47"/>
        <v/>
      </c>
      <c r="O272" s="7" t="str">
        <f t="shared" si="48"/>
        <v/>
      </c>
      <c r="P272" t="str">
        <f t="shared" si="49"/>
        <v/>
      </c>
      <c r="Q272" t="str">
        <f>IF(C272="","",ProcessUrl(P272,"GetTestResults"))</f>
        <v/>
      </c>
      <c r="R272" s="10" t="str">
        <f>IF(C272="","",JsProcess("JsonItem",JsProcess("JsonItem",Q272,"Passed"),"count"))</f>
        <v/>
      </c>
      <c r="S272" s="10" t="str">
        <f>IF(C272="","",JsProcess("JsonItem",JsProcess("JsonItem",Q272,"NotExecuted"),"count"))</f>
        <v/>
      </c>
    </row>
    <row r="273" spans="4:19" x14ac:dyDescent="0.25">
      <c r="D273" t="str">
        <f>IF(C273="","",VLOOKUP(A273,Projects!A:B,2,FALSE))</f>
        <v/>
      </c>
      <c r="E273" s="1" t="str">
        <f t="shared" si="40"/>
        <v/>
      </c>
      <c r="F273" t="str">
        <f t="shared" si="41"/>
        <v/>
      </c>
      <c r="G273" t="str">
        <f>IF(C273="","",ProcessUrl(E273,F273))</f>
        <v/>
      </c>
      <c r="H273" t="str">
        <f t="shared" si="42"/>
        <v/>
      </c>
      <c r="I273" t="str">
        <f t="shared" si="43"/>
        <v/>
      </c>
      <c r="J273" t="str">
        <f>IF(C273="","",ProcessUrl(H273,I273))</f>
        <v/>
      </c>
      <c r="K273" s="7" t="str">
        <f t="shared" si="44"/>
        <v/>
      </c>
      <c r="L273" s="7" t="str">
        <f t="shared" si="45"/>
        <v/>
      </c>
      <c r="M273" s="7" t="str">
        <f t="shared" si="46"/>
        <v/>
      </c>
      <c r="N273" s="7" t="str">
        <f t="shared" si="47"/>
        <v/>
      </c>
      <c r="O273" s="7" t="str">
        <f t="shared" si="48"/>
        <v/>
      </c>
      <c r="P273" t="str">
        <f t="shared" si="49"/>
        <v/>
      </c>
      <c r="Q273" t="str">
        <f>IF(C273="","",ProcessUrl(P273,"GetTestResults"))</f>
        <v/>
      </c>
      <c r="R273" s="10" t="str">
        <f>IF(C273="","",JsProcess("JsonItem",JsProcess("JsonItem",Q273,"Passed"),"count"))</f>
        <v/>
      </c>
      <c r="S273" s="10" t="str">
        <f>IF(C273="","",JsProcess("JsonItem",JsProcess("JsonItem",Q273,"NotExecuted"),"count"))</f>
        <v/>
      </c>
    </row>
    <row r="274" spans="4:19" x14ac:dyDescent="0.25">
      <c r="D274" t="str">
        <f>IF(C274="","",VLOOKUP(A274,Projects!A:B,2,FALSE))</f>
        <v/>
      </c>
      <c r="E274" s="1" t="str">
        <f t="shared" si="40"/>
        <v/>
      </c>
      <c r="F274" t="str">
        <f t="shared" si="41"/>
        <v/>
      </c>
      <c r="G274" t="str">
        <f>IF(C274="","",ProcessUrl(E274,F274))</f>
        <v/>
      </c>
      <c r="H274" t="str">
        <f t="shared" si="42"/>
        <v/>
      </c>
      <c r="I274" t="str">
        <f t="shared" si="43"/>
        <v/>
      </c>
      <c r="J274" t="str">
        <f>IF(C274="","",ProcessUrl(H274,I274))</f>
        <v/>
      </c>
      <c r="K274" s="7" t="str">
        <f t="shared" si="44"/>
        <v/>
      </c>
      <c r="L274" s="7" t="str">
        <f t="shared" si="45"/>
        <v/>
      </c>
      <c r="M274" s="7" t="str">
        <f t="shared" si="46"/>
        <v/>
      </c>
      <c r="N274" s="7" t="str">
        <f t="shared" si="47"/>
        <v/>
      </c>
      <c r="O274" s="7" t="str">
        <f t="shared" si="48"/>
        <v/>
      </c>
      <c r="P274" t="str">
        <f t="shared" si="49"/>
        <v/>
      </c>
      <c r="Q274" t="str">
        <f>IF(C274="","",ProcessUrl(P274,"GetTestResults"))</f>
        <v/>
      </c>
      <c r="R274" s="10" t="str">
        <f>IF(C274="","",JsProcess("JsonItem",JsProcess("JsonItem",Q274,"Passed"),"count"))</f>
        <v/>
      </c>
      <c r="S274" s="10" t="str">
        <f>IF(C274="","",JsProcess("JsonItem",JsProcess("JsonItem",Q274,"NotExecuted"),"count"))</f>
        <v/>
      </c>
    </row>
    <row r="275" spans="4:19" x14ac:dyDescent="0.25">
      <c r="D275" t="str">
        <f>IF(C275="","",VLOOKUP(A275,Projects!A:B,2,FALSE))</f>
        <v/>
      </c>
      <c r="E275" s="1" t="str">
        <f t="shared" si="40"/>
        <v/>
      </c>
      <c r="F275" t="str">
        <f t="shared" si="41"/>
        <v/>
      </c>
      <c r="G275" t="str">
        <f>IF(C275="","",ProcessUrl(E275,F275))</f>
        <v/>
      </c>
      <c r="H275" t="str">
        <f t="shared" si="42"/>
        <v/>
      </c>
      <c r="I275" t="str">
        <f t="shared" si="43"/>
        <v/>
      </c>
      <c r="J275" t="str">
        <f>IF(C275="","",ProcessUrl(H275,I275))</f>
        <v/>
      </c>
      <c r="K275" s="7" t="str">
        <f t="shared" si="44"/>
        <v/>
      </c>
      <c r="L275" s="7" t="str">
        <f t="shared" si="45"/>
        <v/>
      </c>
      <c r="M275" s="7" t="str">
        <f t="shared" si="46"/>
        <v/>
      </c>
      <c r="N275" s="7" t="str">
        <f t="shared" si="47"/>
        <v/>
      </c>
      <c r="O275" s="7" t="str">
        <f t="shared" si="48"/>
        <v/>
      </c>
      <c r="P275" t="str">
        <f t="shared" si="49"/>
        <v/>
      </c>
      <c r="Q275" t="str">
        <f>IF(C275="","",ProcessUrl(P275,"GetTestResults"))</f>
        <v/>
      </c>
      <c r="R275" s="10" t="str">
        <f>IF(C275="","",JsProcess("JsonItem",JsProcess("JsonItem",Q275,"Passed"),"count"))</f>
        <v/>
      </c>
      <c r="S275" s="10" t="str">
        <f>IF(C275="","",JsProcess("JsonItem",JsProcess("JsonItem",Q275,"NotExecuted"),"count"))</f>
        <v/>
      </c>
    </row>
    <row r="276" spans="4:19" x14ac:dyDescent="0.25">
      <c r="D276" t="str">
        <f>IF(C276="","",VLOOKUP(A276,Projects!A:B,2,FALSE))</f>
        <v/>
      </c>
      <c r="E276" s="1" t="str">
        <f t="shared" si="40"/>
        <v/>
      </c>
      <c r="F276" t="str">
        <f t="shared" si="41"/>
        <v/>
      </c>
      <c r="G276" t="str">
        <f>IF(C276="","",ProcessUrl(E276,F276))</f>
        <v/>
      </c>
      <c r="H276" t="str">
        <f t="shared" si="42"/>
        <v/>
      </c>
      <c r="I276" t="str">
        <f t="shared" si="43"/>
        <v/>
      </c>
      <c r="J276" t="str">
        <f>IF(C276="","",ProcessUrl(H276,I276))</f>
        <v/>
      </c>
      <c r="K276" s="7" t="str">
        <f t="shared" si="44"/>
        <v/>
      </c>
      <c r="L276" s="7" t="str">
        <f t="shared" si="45"/>
        <v/>
      </c>
      <c r="M276" s="7" t="str">
        <f t="shared" si="46"/>
        <v/>
      </c>
      <c r="N276" s="7" t="str">
        <f t="shared" si="47"/>
        <v/>
      </c>
      <c r="O276" s="7" t="str">
        <f t="shared" si="48"/>
        <v/>
      </c>
      <c r="P276" t="str">
        <f t="shared" si="49"/>
        <v/>
      </c>
      <c r="Q276" t="str">
        <f>IF(C276="","",ProcessUrl(P276,"GetTestResults"))</f>
        <v/>
      </c>
      <c r="R276" s="10" t="str">
        <f>IF(C276="","",JsProcess("JsonItem",JsProcess("JsonItem",Q276,"Passed"),"count"))</f>
        <v/>
      </c>
      <c r="S276" s="10" t="str">
        <f>IF(C276="","",JsProcess("JsonItem",JsProcess("JsonItem",Q276,"NotExecuted"),"count"))</f>
        <v/>
      </c>
    </row>
    <row r="277" spans="4:19" x14ac:dyDescent="0.25">
      <c r="D277" t="str">
        <f>IF(C277="","",VLOOKUP(A277,Projects!A:B,2,FALSE))</f>
        <v/>
      </c>
      <c r="E277" s="1" t="str">
        <f t="shared" si="40"/>
        <v/>
      </c>
      <c r="F277" t="str">
        <f t="shared" si="41"/>
        <v/>
      </c>
      <c r="G277" t="str">
        <f>IF(C277="","",ProcessUrl(E277,F277))</f>
        <v/>
      </c>
      <c r="H277" t="str">
        <f t="shared" si="42"/>
        <v/>
      </c>
      <c r="I277" t="str">
        <f t="shared" si="43"/>
        <v/>
      </c>
      <c r="J277" t="str">
        <f>IF(C277="","",ProcessUrl(H277,I277))</f>
        <v/>
      </c>
      <c r="K277" s="7" t="str">
        <f t="shared" si="44"/>
        <v/>
      </c>
      <c r="L277" s="7" t="str">
        <f t="shared" si="45"/>
        <v/>
      </c>
      <c r="M277" s="7" t="str">
        <f t="shared" si="46"/>
        <v/>
      </c>
      <c r="N277" s="7" t="str">
        <f t="shared" si="47"/>
        <v/>
      </c>
      <c r="O277" s="7" t="str">
        <f t="shared" si="48"/>
        <v/>
      </c>
      <c r="P277" t="str">
        <f t="shared" si="49"/>
        <v/>
      </c>
      <c r="Q277" t="str">
        <f>IF(C277="","",ProcessUrl(P277,"GetTestResults"))</f>
        <v/>
      </c>
      <c r="R277" s="10" t="str">
        <f>IF(C277="","",JsProcess("JsonItem",JsProcess("JsonItem",Q277,"Passed"),"count"))</f>
        <v/>
      </c>
      <c r="S277" s="10" t="str">
        <f>IF(C277="","",JsProcess("JsonItem",JsProcess("JsonItem",Q277,"NotExecuted"),"count"))</f>
        <v/>
      </c>
    </row>
    <row r="278" spans="4:19" x14ac:dyDescent="0.25">
      <c r="D278" t="str">
        <f>IF(C278="","",VLOOKUP(A278,Projects!A:B,2,FALSE))</f>
        <v/>
      </c>
      <c r="E278" s="1" t="str">
        <f t="shared" si="40"/>
        <v/>
      </c>
      <c r="F278" t="str">
        <f t="shared" si="41"/>
        <v/>
      </c>
      <c r="G278" t="str">
        <f>IF(C278="","",ProcessUrl(E278,F278))</f>
        <v/>
      </c>
      <c r="H278" t="str">
        <f t="shared" si="42"/>
        <v/>
      </c>
      <c r="I278" t="str">
        <f t="shared" si="43"/>
        <v/>
      </c>
      <c r="J278" t="str">
        <f>IF(C278="","",ProcessUrl(H278,I278))</f>
        <v/>
      </c>
      <c r="K278" s="7" t="str">
        <f t="shared" si="44"/>
        <v/>
      </c>
      <c r="L278" s="7" t="str">
        <f t="shared" si="45"/>
        <v/>
      </c>
      <c r="M278" s="7" t="str">
        <f t="shared" si="46"/>
        <v/>
      </c>
      <c r="N278" s="7" t="str">
        <f t="shared" si="47"/>
        <v/>
      </c>
      <c r="O278" s="7" t="str">
        <f t="shared" si="48"/>
        <v/>
      </c>
      <c r="P278" t="str">
        <f t="shared" si="49"/>
        <v/>
      </c>
      <c r="Q278" t="str">
        <f>IF(C278="","",ProcessUrl(P278,"GetTestResults"))</f>
        <v/>
      </c>
      <c r="R278" s="10" t="str">
        <f>IF(C278="","",JsProcess("JsonItem",JsProcess("JsonItem",Q278,"Passed"),"count"))</f>
        <v/>
      </c>
      <c r="S278" s="10" t="str">
        <f>IF(C278="","",JsProcess("JsonItem",JsProcess("JsonItem",Q278,"NotExecuted"),"count"))</f>
        <v/>
      </c>
    </row>
    <row r="279" spans="4:19" x14ac:dyDescent="0.25">
      <c r="D279" t="str">
        <f>IF(C279="","",VLOOKUP(A279,Projects!A:B,2,FALSE))</f>
        <v/>
      </c>
      <c r="E279" s="1" t="str">
        <f t="shared" si="40"/>
        <v/>
      </c>
      <c r="F279" t="str">
        <f t="shared" si="41"/>
        <v/>
      </c>
      <c r="G279" t="str">
        <f>IF(C279="","",ProcessUrl(E279,F279))</f>
        <v/>
      </c>
      <c r="H279" t="str">
        <f t="shared" si="42"/>
        <v/>
      </c>
      <c r="I279" t="str">
        <f t="shared" si="43"/>
        <v/>
      </c>
      <c r="J279" t="str">
        <f>IF(C279="","",ProcessUrl(H279,I279))</f>
        <v/>
      </c>
      <c r="K279" s="7" t="str">
        <f t="shared" si="44"/>
        <v/>
      </c>
      <c r="L279" s="7" t="str">
        <f t="shared" si="45"/>
        <v/>
      </c>
      <c r="M279" s="7" t="str">
        <f t="shared" si="46"/>
        <v/>
      </c>
      <c r="N279" s="7" t="str">
        <f t="shared" si="47"/>
        <v/>
      </c>
      <c r="O279" s="7" t="str">
        <f t="shared" si="48"/>
        <v/>
      </c>
      <c r="P279" t="str">
        <f t="shared" si="49"/>
        <v/>
      </c>
      <c r="Q279" t="str">
        <f>IF(C279="","",ProcessUrl(P279,"GetTestResults"))</f>
        <v/>
      </c>
      <c r="R279" s="10" t="str">
        <f>IF(C279="","",JsProcess("JsonItem",JsProcess("JsonItem",Q279,"Passed"),"count"))</f>
        <v/>
      </c>
      <c r="S279" s="10" t="str">
        <f>IF(C279="","",JsProcess("JsonItem",JsProcess("JsonItem",Q279,"NotExecuted"),"count"))</f>
        <v/>
      </c>
    </row>
    <row r="280" spans="4:19" x14ac:dyDescent="0.25">
      <c r="D280" t="str">
        <f>IF(C280="","",VLOOKUP(A280,Projects!A:B,2,FALSE))</f>
        <v/>
      </c>
      <c r="E280" s="1" t="str">
        <f t="shared" si="40"/>
        <v/>
      </c>
      <c r="F280" t="str">
        <f t="shared" si="41"/>
        <v/>
      </c>
      <c r="G280" t="str">
        <f>IF(C280="","",ProcessUrl(E280,F280))</f>
        <v/>
      </c>
      <c r="H280" t="str">
        <f t="shared" si="42"/>
        <v/>
      </c>
      <c r="I280" t="str">
        <f t="shared" si="43"/>
        <v/>
      </c>
      <c r="J280" t="str">
        <f>IF(C280="","",ProcessUrl(H280,I280))</f>
        <v/>
      </c>
      <c r="K280" s="7" t="str">
        <f t="shared" si="44"/>
        <v/>
      </c>
      <c r="L280" s="7" t="str">
        <f t="shared" si="45"/>
        <v/>
      </c>
      <c r="M280" s="7" t="str">
        <f t="shared" si="46"/>
        <v/>
      </c>
      <c r="N280" s="7" t="str">
        <f t="shared" si="47"/>
        <v/>
      </c>
      <c r="O280" s="7" t="str">
        <f t="shared" si="48"/>
        <v/>
      </c>
      <c r="P280" t="str">
        <f t="shared" si="49"/>
        <v/>
      </c>
      <c r="Q280" t="str">
        <f>IF(C280="","",ProcessUrl(P280,"GetTestResults"))</f>
        <v/>
      </c>
      <c r="R280" s="10" t="str">
        <f>IF(C280="","",JsProcess("JsonItem",JsProcess("JsonItem",Q280,"Passed"),"count"))</f>
        <v/>
      </c>
      <c r="S280" s="10" t="str">
        <f>IF(C280="","",JsProcess("JsonItem",JsProcess("JsonItem",Q280,"NotExecuted"),"count"))</f>
        <v/>
      </c>
    </row>
    <row r="281" spans="4:19" x14ac:dyDescent="0.25">
      <c r="D281" t="str">
        <f>IF(C281="","",VLOOKUP(A281,Projects!A:B,2,FALSE))</f>
        <v/>
      </c>
      <c r="E281" s="1" t="str">
        <f t="shared" si="40"/>
        <v/>
      </c>
      <c r="F281" t="str">
        <f t="shared" si="41"/>
        <v/>
      </c>
      <c r="G281" t="str">
        <f>IF(C281="","",ProcessUrl(E281,F281))</f>
        <v/>
      </c>
      <c r="H281" t="str">
        <f t="shared" si="42"/>
        <v/>
      </c>
      <c r="I281" t="str">
        <f t="shared" si="43"/>
        <v/>
      </c>
      <c r="J281" t="str">
        <f>IF(C281="","",ProcessUrl(H281,I281))</f>
        <v/>
      </c>
      <c r="K281" s="7" t="str">
        <f t="shared" si="44"/>
        <v/>
      </c>
      <c r="L281" s="7" t="str">
        <f t="shared" si="45"/>
        <v/>
      </c>
      <c r="M281" s="7" t="str">
        <f t="shared" si="46"/>
        <v/>
      </c>
      <c r="N281" s="7" t="str">
        <f t="shared" si="47"/>
        <v/>
      </c>
      <c r="O281" s="7" t="str">
        <f t="shared" si="48"/>
        <v/>
      </c>
      <c r="P281" t="str">
        <f t="shared" si="49"/>
        <v/>
      </c>
      <c r="Q281" t="str">
        <f>IF(C281="","",ProcessUrl(P281,"GetTestResults"))</f>
        <v/>
      </c>
      <c r="R281" s="10" t="str">
        <f>IF(C281="","",JsProcess("JsonItem",JsProcess("JsonItem",Q281,"Passed"),"count"))</f>
        <v/>
      </c>
      <c r="S281" s="10" t="str">
        <f>IF(C281="","",JsProcess("JsonItem",JsProcess("JsonItem",Q281,"NotExecuted"),"count"))</f>
        <v/>
      </c>
    </row>
    <row r="282" spans="4:19" x14ac:dyDescent="0.25">
      <c r="D282" t="str">
        <f>IF(C282="","",VLOOKUP(A282,Projects!A:B,2,FALSE))</f>
        <v/>
      </c>
      <c r="E282" s="1" t="str">
        <f t="shared" si="40"/>
        <v/>
      </c>
      <c r="F282" t="str">
        <f t="shared" si="41"/>
        <v/>
      </c>
      <c r="G282" t="str">
        <f>IF(C282="","",ProcessUrl(E282,F282))</f>
        <v/>
      </c>
      <c r="H282" t="str">
        <f t="shared" si="42"/>
        <v/>
      </c>
      <c r="I282" t="str">
        <f t="shared" si="43"/>
        <v/>
      </c>
      <c r="J282" t="str">
        <f>IF(C282="","",ProcessUrl(H282,I282))</f>
        <v/>
      </c>
      <c r="K282" s="7" t="str">
        <f t="shared" si="44"/>
        <v/>
      </c>
      <c r="L282" s="7" t="str">
        <f t="shared" si="45"/>
        <v/>
      </c>
      <c r="M282" s="7" t="str">
        <f t="shared" si="46"/>
        <v/>
      </c>
      <c r="N282" s="7" t="str">
        <f t="shared" si="47"/>
        <v/>
      </c>
      <c r="O282" s="7" t="str">
        <f t="shared" si="48"/>
        <v/>
      </c>
      <c r="P282" t="str">
        <f t="shared" si="49"/>
        <v/>
      </c>
      <c r="Q282" t="str">
        <f>IF(C282="","",ProcessUrl(P282,"GetTestResults"))</f>
        <v/>
      </c>
      <c r="R282" s="10" t="str">
        <f>IF(C282="","",JsProcess("JsonItem",JsProcess("JsonItem",Q282,"Passed"),"count"))</f>
        <v/>
      </c>
      <c r="S282" s="10" t="str">
        <f>IF(C282="","",JsProcess("JsonItem",JsProcess("JsonItem",Q282,"NotExecuted"),"count"))</f>
        <v/>
      </c>
    </row>
    <row r="283" spans="4:19" x14ac:dyDescent="0.25">
      <c r="D283" t="str">
        <f>IF(C283="","",VLOOKUP(A283,Projects!A:B,2,FALSE))</f>
        <v/>
      </c>
      <c r="E283" s="1" t="str">
        <f t="shared" si="40"/>
        <v/>
      </c>
      <c r="F283" t="str">
        <f t="shared" si="41"/>
        <v/>
      </c>
      <c r="G283" t="str">
        <f>IF(C283="","",ProcessUrl(E283,F283))</f>
        <v/>
      </c>
      <c r="H283" t="str">
        <f t="shared" si="42"/>
        <v/>
      </c>
      <c r="I283" t="str">
        <f t="shared" si="43"/>
        <v/>
      </c>
      <c r="J283" t="str">
        <f>IF(C283="","",ProcessUrl(H283,I283))</f>
        <v/>
      </c>
      <c r="K283" s="7" t="str">
        <f t="shared" si="44"/>
        <v/>
      </c>
      <c r="L283" s="7" t="str">
        <f t="shared" si="45"/>
        <v/>
      </c>
      <c r="M283" s="7" t="str">
        <f t="shared" si="46"/>
        <v/>
      </c>
      <c r="N283" s="7" t="str">
        <f t="shared" si="47"/>
        <v/>
      </c>
      <c r="O283" s="7" t="str">
        <f t="shared" si="48"/>
        <v/>
      </c>
      <c r="P283" t="str">
        <f t="shared" si="49"/>
        <v/>
      </c>
      <c r="Q283" t="str">
        <f>IF(C283="","",ProcessUrl(P283,"GetTestResults"))</f>
        <v/>
      </c>
      <c r="R283" s="10" t="str">
        <f>IF(C283="","",JsProcess("JsonItem",JsProcess("JsonItem",Q283,"Passed"),"count"))</f>
        <v/>
      </c>
      <c r="S283" s="10" t="str">
        <f>IF(C283="","",JsProcess("JsonItem",JsProcess("JsonItem",Q283,"NotExecuted"),"count"))</f>
        <v/>
      </c>
    </row>
    <row r="284" spans="4:19" x14ac:dyDescent="0.25">
      <c r="D284" t="str">
        <f>IF(C284="","",VLOOKUP(A284,Projects!A:B,2,FALSE))</f>
        <v/>
      </c>
      <c r="E284" s="1" t="str">
        <f t="shared" si="40"/>
        <v/>
      </c>
      <c r="F284" t="str">
        <f t="shared" si="41"/>
        <v/>
      </c>
      <c r="G284" t="str">
        <f>IF(C284="","",ProcessUrl(E284,F284))</f>
        <v/>
      </c>
      <c r="H284" t="str">
        <f t="shared" si="42"/>
        <v/>
      </c>
      <c r="I284" t="str">
        <f t="shared" si="43"/>
        <v/>
      </c>
      <c r="J284" t="str">
        <f>IF(C284="","",ProcessUrl(H284,I284))</f>
        <v/>
      </c>
      <c r="K284" s="7" t="str">
        <f t="shared" si="44"/>
        <v/>
      </c>
      <c r="L284" s="7" t="str">
        <f t="shared" si="45"/>
        <v/>
      </c>
      <c r="M284" s="7" t="str">
        <f t="shared" si="46"/>
        <v/>
      </c>
      <c r="N284" s="7" t="str">
        <f t="shared" si="47"/>
        <v/>
      </c>
      <c r="O284" s="7" t="str">
        <f t="shared" si="48"/>
        <v/>
      </c>
      <c r="P284" t="str">
        <f t="shared" si="49"/>
        <v/>
      </c>
      <c r="Q284" t="str">
        <f>IF(C284="","",ProcessUrl(P284,"GetTestResults"))</f>
        <v/>
      </c>
      <c r="R284" s="10" t="str">
        <f>IF(C284="","",JsProcess("JsonItem",JsProcess("JsonItem",Q284,"Passed"),"count"))</f>
        <v/>
      </c>
      <c r="S284" s="10" t="str">
        <f>IF(C284="","",JsProcess("JsonItem",JsProcess("JsonItem",Q284,"NotExecuted"),"count"))</f>
        <v/>
      </c>
    </row>
    <row r="285" spans="4:19" x14ac:dyDescent="0.25">
      <c r="D285" t="str">
        <f>IF(C285="","",VLOOKUP(A285,Projects!A:B,2,FALSE))</f>
        <v/>
      </c>
      <c r="E285" s="1" t="str">
        <f t="shared" si="40"/>
        <v/>
      </c>
      <c r="F285" t="str">
        <f t="shared" si="41"/>
        <v/>
      </c>
      <c r="G285" t="str">
        <f>IF(C285="","",ProcessUrl(E285,F285))</f>
        <v/>
      </c>
      <c r="H285" t="str">
        <f t="shared" si="42"/>
        <v/>
      </c>
      <c r="I285" t="str">
        <f t="shared" si="43"/>
        <v/>
      </c>
      <c r="J285" t="str">
        <f>IF(C285="","",ProcessUrl(H285,I285))</f>
        <v/>
      </c>
      <c r="K285" s="7" t="str">
        <f t="shared" si="44"/>
        <v/>
      </c>
      <c r="L285" s="7" t="str">
        <f t="shared" si="45"/>
        <v/>
      </c>
      <c r="M285" s="7" t="str">
        <f t="shared" si="46"/>
        <v/>
      </c>
      <c r="N285" s="7" t="str">
        <f t="shared" si="47"/>
        <v/>
      </c>
      <c r="O285" s="7" t="str">
        <f t="shared" si="48"/>
        <v/>
      </c>
      <c r="P285" t="str">
        <f t="shared" si="49"/>
        <v/>
      </c>
      <c r="Q285" t="str">
        <f>IF(C285="","",ProcessUrl(P285,"GetTestResults"))</f>
        <v/>
      </c>
      <c r="R285" s="10" t="str">
        <f>IF(C285="","",JsProcess("JsonItem",JsProcess("JsonItem",Q285,"Passed"),"count"))</f>
        <v/>
      </c>
      <c r="S285" s="10" t="str">
        <f>IF(C285="","",JsProcess("JsonItem",JsProcess("JsonItem",Q285,"NotExecuted"),"count"))</f>
        <v/>
      </c>
    </row>
    <row r="286" spans="4:19" x14ac:dyDescent="0.25">
      <c r="D286" t="str">
        <f>IF(C286="","",VLOOKUP(A286,Projects!A:B,2,FALSE))</f>
        <v/>
      </c>
      <c r="E286" s="1" t="str">
        <f t="shared" si="40"/>
        <v/>
      </c>
      <c r="F286" t="str">
        <f t="shared" si="41"/>
        <v/>
      </c>
      <c r="G286" t="str">
        <f>IF(C286="","",ProcessUrl(E286,F286))</f>
        <v/>
      </c>
      <c r="H286" t="str">
        <f t="shared" si="42"/>
        <v/>
      </c>
      <c r="I286" t="str">
        <f t="shared" si="43"/>
        <v/>
      </c>
      <c r="J286" t="str">
        <f>IF(C286="","",ProcessUrl(H286,I286))</f>
        <v/>
      </c>
      <c r="K286" s="7" t="str">
        <f t="shared" si="44"/>
        <v/>
      </c>
      <c r="L286" s="7" t="str">
        <f t="shared" si="45"/>
        <v/>
      </c>
      <c r="M286" s="7" t="str">
        <f t="shared" si="46"/>
        <v/>
      </c>
      <c r="N286" s="7" t="str">
        <f t="shared" si="47"/>
        <v/>
      </c>
      <c r="O286" s="7" t="str">
        <f t="shared" si="48"/>
        <v/>
      </c>
      <c r="P286" t="str">
        <f t="shared" si="49"/>
        <v/>
      </c>
      <c r="Q286" t="str">
        <f>IF(C286="","",ProcessUrl(P286,"GetTestResults"))</f>
        <v/>
      </c>
      <c r="R286" s="10" t="str">
        <f>IF(C286="","",JsProcess("JsonItem",JsProcess("JsonItem",Q286,"Passed"),"count"))</f>
        <v/>
      </c>
      <c r="S286" s="10" t="str">
        <f>IF(C286="","",JsProcess("JsonItem",JsProcess("JsonItem",Q286,"NotExecuted"),"count"))</f>
        <v/>
      </c>
    </row>
    <row r="287" spans="4:19" x14ac:dyDescent="0.25">
      <c r="D287" t="str">
        <f>IF(C287="","",VLOOKUP(A287,Projects!A:B,2,FALSE))</f>
        <v/>
      </c>
      <c r="E287" s="1" t="str">
        <f t="shared" si="40"/>
        <v/>
      </c>
      <c r="F287" t="str">
        <f t="shared" si="41"/>
        <v/>
      </c>
      <c r="G287" t="str">
        <f>IF(C287="","",ProcessUrl(E287,F287))</f>
        <v/>
      </c>
      <c r="H287" t="str">
        <f t="shared" si="42"/>
        <v/>
      </c>
      <c r="I287" t="str">
        <f t="shared" si="43"/>
        <v/>
      </c>
      <c r="J287" t="str">
        <f>IF(C287="","",ProcessUrl(H287,I287))</f>
        <v/>
      </c>
      <c r="K287" s="7" t="str">
        <f t="shared" si="44"/>
        <v/>
      </c>
      <c r="L287" s="7" t="str">
        <f t="shared" si="45"/>
        <v/>
      </c>
      <c r="M287" s="7" t="str">
        <f t="shared" si="46"/>
        <v/>
      </c>
      <c r="N287" s="7" t="str">
        <f t="shared" si="47"/>
        <v/>
      </c>
      <c r="O287" s="7" t="str">
        <f t="shared" si="48"/>
        <v/>
      </c>
      <c r="P287" t="str">
        <f t="shared" si="49"/>
        <v/>
      </c>
      <c r="Q287" t="str">
        <f>IF(C287="","",ProcessUrl(P287,"GetTestResults"))</f>
        <v/>
      </c>
      <c r="R287" s="10" t="str">
        <f>IF(C287="","",JsProcess("JsonItem",JsProcess("JsonItem",Q287,"Passed"),"count"))</f>
        <v/>
      </c>
      <c r="S287" s="10" t="str">
        <f>IF(C287="","",JsProcess("JsonItem",JsProcess("JsonItem",Q287,"NotExecuted"),"count"))</f>
        <v/>
      </c>
    </row>
    <row r="288" spans="4:19" x14ac:dyDescent="0.25">
      <c r="D288" t="str">
        <f>IF(C288="","",VLOOKUP(A288,Projects!A:B,2,FALSE))</f>
        <v/>
      </c>
      <c r="E288" s="1" t="str">
        <f t="shared" si="40"/>
        <v/>
      </c>
      <c r="F288" t="str">
        <f t="shared" si="41"/>
        <v/>
      </c>
      <c r="G288" t="str">
        <f>IF(C288="","",ProcessUrl(E288,F288))</f>
        <v/>
      </c>
      <c r="H288" t="str">
        <f t="shared" si="42"/>
        <v/>
      </c>
      <c r="I288" t="str">
        <f t="shared" si="43"/>
        <v/>
      </c>
      <c r="J288" t="str">
        <f>IF(C288="","",ProcessUrl(H288,I288))</f>
        <v/>
      </c>
      <c r="K288" s="7" t="str">
        <f t="shared" si="44"/>
        <v/>
      </c>
      <c r="L288" s="7" t="str">
        <f t="shared" si="45"/>
        <v/>
      </c>
      <c r="M288" s="7" t="str">
        <f t="shared" si="46"/>
        <v/>
      </c>
      <c r="N288" s="7" t="str">
        <f t="shared" si="47"/>
        <v/>
      </c>
      <c r="O288" s="7" t="str">
        <f t="shared" si="48"/>
        <v/>
      </c>
      <c r="P288" t="str">
        <f t="shared" si="49"/>
        <v/>
      </c>
      <c r="Q288" t="str">
        <f>IF(C288="","",ProcessUrl(P288,"GetTestResults"))</f>
        <v/>
      </c>
      <c r="R288" s="10" t="str">
        <f>IF(C288="","",JsProcess("JsonItem",JsProcess("JsonItem",Q288,"Passed"),"count"))</f>
        <v/>
      </c>
      <c r="S288" s="10" t="str">
        <f>IF(C288="","",JsProcess("JsonItem",JsProcess("JsonItem",Q288,"NotExecuted"),"count"))</f>
        <v/>
      </c>
    </row>
    <row r="289" spans="4:19" x14ac:dyDescent="0.25">
      <c r="D289" t="str">
        <f>IF(C289="","",VLOOKUP(A289,Projects!A:B,2,FALSE))</f>
        <v/>
      </c>
      <c r="E289" s="1" t="str">
        <f t="shared" si="40"/>
        <v/>
      </c>
      <c r="F289" t="str">
        <f t="shared" si="41"/>
        <v/>
      </c>
      <c r="G289" t="str">
        <f>IF(C289="","",ProcessUrl(E289,F289))</f>
        <v/>
      </c>
      <c r="H289" t="str">
        <f t="shared" si="42"/>
        <v/>
      </c>
      <c r="I289" t="str">
        <f t="shared" si="43"/>
        <v/>
      </c>
      <c r="J289" t="str">
        <f>IF(C289="","",ProcessUrl(H289,I289))</f>
        <v/>
      </c>
      <c r="K289" s="7" t="str">
        <f t="shared" si="44"/>
        <v/>
      </c>
      <c r="L289" s="7" t="str">
        <f t="shared" si="45"/>
        <v/>
      </c>
      <c r="M289" s="7" t="str">
        <f t="shared" si="46"/>
        <v/>
      </c>
      <c r="N289" s="7" t="str">
        <f t="shared" si="47"/>
        <v/>
      </c>
      <c r="O289" s="7" t="str">
        <f t="shared" si="48"/>
        <v/>
      </c>
      <c r="P289" t="str">
        <f t="shared" si="49"/>
        <v/>
      </c>
      <c r="Q289" t="str">
        <f>IF(C289="","",ProcessUrl(P289,"GetTestResults"))</f>
        <v/>
      </c>
      <c r="R289" s="10" t="str">
        <f>IF(C289="","",JsProcess("JsonItem",JsProcess("JsonItem",Q289,"Passed"),"count"))</f>
        <v/>
      </c>
      <c r="S289" s="10" t="str">
        <f>IF(C289="","",JsProcess("JsonItem",JsProcess("JsonItem",Q289,"NotExecuted"),"count"))</f>
        <v/>
      </c>
    </row>
    <row r="290" spans="4:19" x14ac:dyDescent="0.25">
      <c r="D290" t="str">
        <f>IF(C290="","",VLOOKUP(A290,Projects!A:B,2,FALSE))</f>
        <v/>
      </c>
      <c r="E290" s="1" t="str">
        <f t="shared" si="40"/>
        <v/>
      </c>
      <c r="F290" t="str">
        <f t="shared" si="41"/>
        <v/>
      </c>
      <c r="G290" t="str">
        <f>IF(C290="","",ProcessUrl(E290,F290))</f>
        <v/>
      </c>
      <c r="H290" t="str">
        <f t="shared" si="42"/>
        <v/>
      </c>
      <c r="I290" t="str">
        <f t="shared" si="43"/>
        <v/>
      </c>
      <c r="J290" t="str">
        <f>IF(C290="","",ProcessUrl(H290,I290))</f>
        <v/>
      </c>
      <c r="K290" s="7" t="str">
        <f t="shared" si="44"/>
        <v/>
      </c>
      <c r="L290" s="7" t="str">
        <f t="shared" si="45"/>
        <v/>
      </c>
      <c r="M290" s="7" t="str">
        <f t="shared" si="46"/>
        <v/>
      </c>
      <c r="N290" s="7" t="str">
        <f t="shared" si="47"/>
        <v/>
      </c>
      <c r="O290" s="7" t="str">
        <f t="shared" si="48"/>
        <v/>
      </c>
      <c r="P290" t="str">
        <f t="shared" si="49"/>
        <v/>
      </c>
      <c r="Q290" t="str">
        <f>IF(C290="","",ProcessUrl(P290,"GetTestResults"))</f>
        <v/>
      </c>
      <c r="R290" s="10" t="str">
        <f>IF(C290="","",JsProcess("JsonItem",JsProcess("JsonItem",Q290,"Passed"),"count"))</f>
        <v/>
      </c>
      <c r="S290" s="10" t="str">
        <f>IF(C290="","",JsProcess("JsonItem",JsProcess("JsonItem",Q290,"NotExecuted"),"count"))</f>
        <v/>
      </c>
    </row>
    <row r="291" spans="4:19" x14ac:dyDescent="0.25">
      <c r="D291" t="str">
        <f>IF(C291="","",VLOOKUP(A291,Projects!A:B,2,FALSE))</f>
        <v/>
      </c>
      <c r="E291" s="1" t="str">
        <f t="shared" si="40"/>
        <v/>
      </c>
      <c r="F291" t="str">
        <f t="shared" si="41"/>
        <v/>
      </c>
      <c r="G291" t="str">
        <f>IF(C291="","",ProcessUrl(E291,F291))</f>
        <v/>
      </c>
      <c r="H291" t="str">
        <f t="shared" si="42"/>
        <v/>
      </c>
      <c r="I291" t="str">
        <f t="shared" si="43"/>
        <v/>
      </c>
      <c r="J291" t="str">
        <f>IF(C291="","",ProcessUrl(H291,I291))</f>
        <v/>
      </c>
      <c r="K291" s="7" t="str">
        <f t="shared" si="44"/>
        <v/>
      </c>
      <c r="L291" s="7" t="str">
        <f t="shared" si="45"/>
        <v/>
      </c>
      <c r="M291" s="7" t="str">
        <f t="shared" si="46"/>
        <v/>
      </c>
      <c r="N291" s="7" t="str">
        <f t="shared" si="47"/>
        <v/>
      </c>
      <c r="O291" s="7" t="str">
        <f t="shared" si="48"/>
        <v/>
      </c>
      <c r="P291" t="str">
        <f t="shared" si="49"/>
        <v/>
      </c>
      <c r="Q291" t="str">
        <f>IF(C291="","",ProcessUrl(P291,"GetTestResults"))</f>
        <v/>
      </c>
      <c r="R291" s="10" t="str">
        <f>IF(C291="","",JsProcess("JsonItem",JsProcess("JsonItem",Q291,"Passed"),"count"))</f>
        <v/>
      </c>
      <c r="S291" s="10" t="str">
        <f>IF(C291="","",JsProcess("JsonItem",JsProcess("JsonItem",Q291,"NotExecuted"),"count"))</f>
        <v/>
      </c>
    </row>
    <row r="292" spans="4:19" x14ac:dyDescent="0.25">
      <c r="D292" t="str">
        <f>IF(C292="","",VLOOKUP(A292,Projects!A:B,2,FALSE))</f>
        <v/>
      </c>
      <c r="E292" s="1" t="str">
        <f t="shared" si="40"/>
        <v/>
      </c>
      <c r="F292" t="str">
        <f t="shared" si="41"/>
        <v/>
      </c>
      <c r="G292" t="str">
        <f>IF(C292="","",ProcessUrl(E292,F292))</f>
        <v/>
      </c>
      <c r="H292" t="str">
        <f t="shared" si="42"/>
        <v/>
      </c>
      <c r="I292" t="str">
        <f t="shared" si="43"/>
        <v/>
      </c>
      <c r="J292" t="str">
        <f>IF(C292="","",ProcessUrl(H292,I292))</f>
        <v/>
      </c>
      <c r="K292" s="7" t="str">
        <f t="shared" si="44"/>
        <v/>
      </c>
      <c r="L292" s="7" t="str">
        <f t="shared" si="45"/>
        <v/>
      </c>
      <c r="M292" s="7" t="str">
        <f t="shared" si="46"/>
        <v/>
      </c>
      <c r="N292" s="7" t="str">
        <f t="shared" si="47"/>
        <v/>
      </c>
      <c r="O292" s="7" t="str">
        <f t="shared" si="48"/>
        <v/>
      </c>
      <c r="P292" t="str">
        <f t="shared" si="49"/>
        <v/>
      </c>
      <c r="Q292" t="str">
        <f>IF(C292="","",ProcessUrl(P292,"GetTestResults"))</f>
        <v/>
      </c>
      <c r="R292" s="10" t="str">
        <f>IF(C292="","",JsProcess("JsonItem",JsProcess("JsonItem",Q292,"Passed"),"count"))</f>
        <v/>
      </c>
      <c r="S292" s="10" t="str">
        <f>IF(C292="","",JsProcess("JsonItem",JsProcess("JsonItem",Q292,"NotExecuted"),"count"))</f>
        <v/>
      </c>
    </row>
    <row r="293" spans="4:19" x14ac:dyDescent="0.25">
      <c r="D293" t="str">
        <f>IF(C293="","",VLOOKUP(A293,Projects!A:B,2,FALSE))</f>
        <v/>
      </c>
      <c r="E293" s="1" t="str">
        <f t="shared" si="40"/>
        <v/>
      </c>
      <c r="F293" t="str">
        <f t="shared" si="41"/>
        <v/>
      </c>
      <c r="G293" t="str">
        <f>IF(C293="","",ProcessUrl(E293,F293))</f>
        <v/>
      </c>
      <c r="H293" t="str">
        <f t="shared" si="42"/>
        <v/>
      </c>
      <c r="I293" t="str">
        <f t="shared" si="43"/>
        <v/>
      </c>
      <c r="J293" t="str">
        <f>IF(C293="","",ProcessUrl(H293,I293))</f>
        <v/>
      </c>
      <c r="K293" s="7" t="str">
        <f t="shared" si="44"/>
        <v/>
      </c>
      <c r="L293" s="7" t="str">
        <f t="shared" si="45"/>
        <v/>
      </c>
      <c r="M293" s="7" t="str">
        <f t="shared" si="46"/>
        <v/>
      </c>
      <c r="N293" s="7" t="str">
        <f t="shared" si="47"/>
        <v/>
      </c>
      <c r="O293" s="7" t="str">
        <f t="shared" si="48"/>
        <v/>
      </c>
      <c r="P293" t="str">
        <f t="shared" si="49"/>
        <v/>
      </c>
      <c r="Q293" t="str">
        <f>IF(C293="","",ProcessUrl(P293,"GetTestResults"))</f>
        <v/>
      </c>
      <c r="R293" s="10" t="str">
        <f>IF(C293="","",JsProcess("JsonItem",JsProcess("JsonItem",Q293,"Passed"),"count"))</f>
        <v/>
      </c>
      <c r="S293" s="10" t="str">
        <f>IF(C293="","",JsProcess("JsonItem",JsProcess("JsonItem",Q293,"NotExecuted"),"count"))</f>
        <v/>
      </c>
    </row>
    <row r="294" spans="4:19" x14ac:dyDescent="0.25">
      <c r="D294" t="str">
        <f>IF(C294="","",VLOOKUP(A294,Projects!A:B,2,FALSE))</f>
        <v/>
      </c>
      <c r="E294" s="1" t="str">
        <f t="shared" si="40"/>
        <v/>
      </c>
      <c r="F294" t="str">
        <f t="shared" si="41"/>
        <v/>
      </c>
      <c r="G294" t="str">
        <f>IF(C294="","",ProcessUrl(E294,F294))</f>
        <v/>
      </c>
      <c r="H294" t="str">
        <f t="shared" si="42"/>
        <v/>
      </c>
      <c r="I294" t="str">
        <f t="shared" si="43"/>
        <v/>
      </c>
      <c r="J294" t="str">
        <f>IF(C294="","",ProcessUrl(H294,I294))</f>
        <v/>
      </c>
      <c r="K294" s="7" t="str">
        <f t="shared" si="44"/>
        <v/>
      </c>
      <c r="L294" s="7" t="str">
        <f t="shared" si="45"/>
        <v/>
      </c>
      <c r="M294" s="7" t="str">
        <f t="shared" si="46"/>
        <v/>
      </c>
      <c r="N294" s="7" t="str">
        <f t="shared" si="47"/>
        <v/>
      </c>
      <c r="O294" s="7" t="str">
        <f t="shared" si="48"/>
        <v/>
      </c>
      <c r="P294" t="str">
        <f t="shared" si="49"/>
        <v/>
      </c>
      <c r="Q294" t="str">
        <f>IF(C294="","",ProcessUrl(P294,"GetTestResults"))</f>
        <v/>
      </c>
      <c r="R294" s="10" t="str">
        <f>IF(C294="","",JsProcess("JsonItem",JsProcess("JsonItem",Q294,"Passed"),"count"))</f>
        <v/>
      </c>
      <c r="S294" s="10" t="str">
        <f>IF(C294="","",JsProcess("JsonItem",JsProcess("JsonItem",Q294,"NotExecuted"),"count"))</f>
        <v/>
      </c>
    </row>
    <row r="295" spans="4:19" x14ac:dyDescent="0.25">
      <c r="D295" t="str">
        <f>IF(C295="","",VLOOKUP(A295,Projects!A:B,2,FALSE))</f>
        <v/>
      </c>
      <c r="E295" s="1" t="str">
        <f t="shared" si="40"/>
        <v/>
      </c>
      <c r="F295" t="str">
        <f t="shared" si="41"/>
        <v/>
      </c>
      <c r="G295" t="str">
        <f>IF(C295="","",ProcessUrl(E295,F295))</f>
        <v/>
      </c>
      <c r="H295" t="str">
        <f t="shared" si="42"/>
        <v/>
      </c>
      <c r="I295" t="str">
        <f t="shared" si="43"/>
        <v/>
      </c>
      <c r="J295" t="str">
        <f>IF(C295="","",ProcessUrl(H295,I295))</f>
        <v/>
      </c>
      <c r="K295" s="7" t="str">
        <f t="shared" si="44"/>
        <v/>
      </c>
      <c r="L295" s="7" t="str">
        <f t="shared" si="45"/>
        <v/>
      </c>
      <c r="M295" s="7" t="str">
        <f t="shared" si="46"/>
        <v/>
      </c>
      <c r="N295" s="7" t="str">
        <f t="shared" si="47"/>
        <v/>
      </c>
      <c r="O295" s="7" t="str">
        <f t="shared" si="48"/>
        <v/>
      </c>
      <c r="P295" t="str">
        <f t="shared" si="49"/>
        <v/>
      </c>
      <c r="Q295" t="str">
        <f>IF(C295="","",ProcessUrl(P295,"GetTestResults"))</f>
        <v/>
      </c>
      <c r="R295" s="10" t="str">
        <f>IF(C295="","",JsProcess("JsonItem",JsProcess("JsonItem",Q295,"Passed"),"count"))</f>
        <v/>
      </c>
      <c r="S295" s="10" t="str">
        <f>IF(C295="","",JsProcess("JsonItem",JsProcess("JsonItem",Q295,"NotExecuted"),"count"))</f>
        <v/>
      </c>
    </row>
    <row r="296" spans="4:19" x14ac:dyDescent="0.25">
      <c r="D296" t="str">
        <f>IF(C296="","",VLOOKUP(A296,Projects!A:B,2,FALSE))</f>
        <v/>
      </c>
      <c r="E296" s="1" t="str">
        <f t="shared" si="40"/>
        <v/>
      </c>
      <c r="F296" t="str">
        <f t="shared" si="41"/>
        <v/>
      </c>
      <c r="G296" t="str">
        <f>IF(C296="","",ProcessUrl(E296,F296))</f>
        <v/>
      </c>
      <c r="H296" t="str">
        <f t="shared" si="42"/>
        <v/>
      </c>
      <c r="I296" t="str">
        <f t="shared" si="43"/>
        <v/>
      </c>
      <c r="J296" t="str">
        <f>IF(C296="","",ProcessUrl(H296,I296))</f>
        <v/>
      </c>
      <c r="K296" s="7" t="str">
        <f t="shared" si="44"/>
        <v/>
      </c>
      <c r="L296" s="7" t="str">
        <f t="shared" si="45"/>
        <v/>
      </c>
      <c r="M296" s="7" t="str">
        <f t="shared" si="46"/>
        <v/>
      </c>
      <c r="N296" s="7" t="str">
        <f t="shared" si="47"/>
        <v/>
      </c>
      <c r="O296" s="7" t="str">
        <f t="shared" si="48"/>
        <v/>
      </c>
      <c r="P296" t="str">
        <f t="shared" si="49"/>
        <v/>
      </c>
      <c r="Q296" t="str">
        <f>IF(C296="","",ProcessUrl(P296,"GetTestResults"))</f>
        <v/>
      </c>
      <c r="R296" s="10" t="str">
        <f>IF(C296="","",JsProcess("JsonItem",JsProcess("JsonItem",Q296,"Passed"),"count"))</f>
        <v/>
      </c>
      <c r="S296" s="10" t="str">
        <f>IF(C296="","",JsProcess("JsonItem",JsProcess("JsonItem",Q296,"NotExecuted"),"count"))</f>
        <v/>
      </c>
    </row>
    <row r="297" spans="4:19" x14ac:dyDescent="0.25">
      <c r="D297" t="str">
        <f>IF(C297="","",VLOOKUP(A297,Projects!A:B,2,FALSE))</f>
        <v/>
      </c>
      <c r="E297" s="1" t="str">
        <f t="shared" si="40"/>
        <v/>
      </c>
      <c r="F297" t="str">
        <f t="shared" si="41"/>
        <v/>
      </c>
      <c r="G297" t="str">
        <f>IF(C297="","",ProcessUrl(E297,F297))</f>
        <v/>
      </c>
      <c r="H297" t="str">
        <f t="shared" si="42"/>
        <v/>
      </c>
      <c r="I297" t="str">
        <f t="shared" si="43"/>
        <v/>
      </c>
      <c r="J297" t="str">
        <f>IF(C297="","",ProcessUrl(H297,I297))</f>
        <v/>
      </c>
      <c r="K297" s="7" t="str">
        <f t="shared" si="44"/>
        <v/>
      </c>
      <c r="L297" s="7" t="str">
        <f t="shared" si="45"/>
        <v/>
      </c>
      <c r="M297" s="7" t="str">
        <f t="shared" si="46"/>
        <v/>
      </c>
      <c r="N297" s="7" t="str">
        <f t="shared" si="47"/>
        <v/>
      </c>
      <c r="O297" s="7" t="str">
        <f t="shared" si="48"/>
        <v/>
      </c>
      <c r="P297" t="str">
        <f t="shared" si="49"/>
        <v/>
      </c>
      <c r="Q297" t="str">
        <f>IF(C297="","",ProcessUrl(P297,"GetTestResults"))</f>
        <v/>
      </c>
      <c r="R297" s="10" t="str">
        <f>IF(C297="","",JsProcess("JsonItem",JsProcess("JsonItem",Q297,"Passed"),"count"))</f>
        <v/>
      </c>
      <c r="S297" s="10" t="str">
        <f>IF(C297="","",JsProcess("JsonItem",JsProcess("JsonItem",Q297,"NotExecuted"),"count"))</f>
        <v/>
      </c>
    </row>
    <row r="298" spans="4:19" x14ac:dyDescent="0.25">
      <c r="D298" t="str">
        <f>IF(C298="","",VLOOKUP(A298,Projects!A:B,2,FALSE))</f>
        <v/>
      </c>
      <c r="E298" s="1" t="str">
        <f t="shared" si="40"/>
        <v/>
      </c>
      <c r="F298" t="str">
        <f t="shared" si="41"/>
        <v/>
      </c>
      <c r="G298" t="str">
        <f>IF(C298="","",ProcessUrl(E298,F298))</f>
        <v/>
      </c>
      <c r="H298" t="str">
        <f t="shared" si="42"/>
        <v/>
      </c>
      <c r="I298" t="str">
        <f t="shared" si="43"/>
        <v/>
      </c>
      <c r="J298" t="str">
        <f>IF(C298="","",ProcessUrl(H298,I298))</f>
        <v/>
      </c>
      <c r="K298" s="7" t="str">
        <f t="shared" si="44"/>
        <v/>
      </c>
      <c r="L298" s="7" t="str">
        <f t="shared" si="45"/>
        <v/>
      </c>
      <c r="M298" s="7" t="str">
        <f t="shared" si="46"/>
        <v/>
      </c>
      <c r="N298" s="7" t="str">
        <f t="shared" si="47"/>
        <v/>
      </c>
      <c r="O298" s="7" t="str">
        <f t="shared" si="48"/>
        <v/>
      </c>
      <c r="P298" t="str">
        <f t="shared" si="49"/>
        <v/>
      </c>
      <c r="Q298" t="str">
        <f>IF(C298="","",ProcessUrl(P298,"GetTestResults"))</f>
        <v/>
      </c>
      <c r="R298" s="10" t="str">
        <f>IF(C298="","",JsProcess("JsonItem",JsProcess("JsonItem",Q298,"Passed"),"count"))</f>
        <v/>
      </c>
      <c r="S298" s="10" t="str">
        <f>IF(C298="","",JsProcess("JsonItem",JsProcess("JsonItem",Q298,"NotExecuted"),"count"))</f>
        <v/>
      </c>
    </row>
    <row r="299" spans="4:19" x14ac:dyDescent="0.25">
      <c r="D299" t="str">
        <f>IF(C299="","",VLOOKUP(A299,Projects!A:B,2,FALSE))</f>
        <v/>
      </c>
      <c r="E299" s="1" t="str">
        <f t="shared" si="40"/>
        <v/>
      </c>
      <c r="F299" t="str">
        <f t="shared" si="41"/>
        <v/>
      </c>
      <c r="G299" t="str">
        <f>IF(C299="","",ProcessUrl(E299,F299))</f>
        <v/>
      </c>
      <c r="H299" t="str">
        <f t="shared" si="42"/>
        <v/>
      </c>
      <c r="I299" t="str">
        <f t="shared" si="43"/>
        <v/>
      </c>
      <c r="J299" t="str">
        <f>IF(C299="","",ProcessUrl(H299,I299))</f>
        <v/>
      </c>
      <c r="K299" s="7" t="str">
        <f t="shared" si="44"/>
        <v/>
      </c>
      <c r="L299" s="7" t="str">
        <f t="shared" si="45"/>
        <v/>
      </c>
      <c r="M299" s="7" t="str">
        <f t="shared" si="46"/>
        <v/>
      </c>
      <c r="N299" s="7" t="str">
        <f t="shared" si="47"/>
        <v/>
      </c>
      <c r="O299" s="7" t="str">
        <f t="shared" si="48"/>
        <v/>
      </c>
      <c r="P299" t="str">
        <f t="shared" si="49"/>
        <v/>
      </c>
      <c r="Q299" t="str">
        <f>IF(C299="","",ProcessUrl(P299,"GetTestResults"))</f>
        <v/>
      </c>
      <c r="R299" s="10" t="str">
        <f>IF(C299="","",JsProcess("JsonItem",JsProcess("JsonItem",Q299,"Passed"),"count"))</f>
        <v/>
      </c>
      <c r="S299" s="10" t="str">
        <f>IF(C299="","",JsProcess("JsonItem",JsProcess("JsonItem",Q299,"NotExecuted"),"count"))</f>
        <v/>
      </c>
    </row>
    <row r="300" spans="4:19" x14ac:dyDescent="0.25">
      <c r="D300" t="str">
        <f>IF(C300="","",VLOOKUP(A300,Projects!A:B,2,FALSE))</f>
        <v/>
      </c>
      <c r="E300" s="1" t="str">
        <f t="shared" si="40"/>
        <v/>
      </c>
      <c r="F300" t="str">
        <f t="shared" si="41"/>
        <v/>
      </c>
      <c r="G300" t="str">
        <f>IF(C300="","",ProcessUrl(E300,F300))</f>
        <v/>
      </c>
      <c r="H300" t="str">
        <f t="shared" si="42"/>
        <v/>
      </c>
      <c r="I300" t="str">
        <f t="shared" si="43"/>
        <v/>
      </c>
      <c r="J300" t="str">
        <f>IF(C300="","",ProcessUrl(H300,I300))</f>
        <v/>
      </c>
      <c r="K300" s="7" t="str">
        <f t="shared" si="44"/>
        <v/>
      </c>
      <c r="L300" s="7" t="str">
        <f t="shared" si="45"/>
        <v/>
      </c>
      <c r="M300" s="7" t="str">
        <f t="shared" si="46"/>
        <v/>
      </c>
      <c r="N300" s="7" t="str">
        <f t="shared" si="47"/>
        <v/>
      </c>
      <c r="O300" s="7" t="str">
        <f t="shared" si="48"/>
        <v/>
      </c>
      <c r="P300" t="str">
        <f t="shared" si="49"/>
        <v/>
      </c>
      <c r="Q300" t="str">
        <f>IF(C300="","",ProcessUrl(P300,"GetTestResults"))</f>
        <v/>
      </c>
      <c r="R300" s="10" t="str">
        <f>IF(C300="","",JsProcess("JsonItem",JsProcess("JsonItem",Q300,"Passed"),"count"))</f>
        <v/>
      </c>
      <c r="S300" s="10" t="str">
        <f>IF(C300="","",JsProcess("JsonItem",JsProcess("JsonItem",Q300,"NotExecuted"),"count"))</f>
        <v/>
      </c>
    </row>
    <row r="301" spans="4:19" x14ac:dyDescent="0.25">
      <c r="D301" t="str">
        <f>IF(C301="","",VLOOKUP(A301,Projects!A:B,2,FALSE))</f>
        <v/>
      </c>
      <c r="E301" s="1" t="str">
        <f t="shared" si="40"/>
        <v/>
      </c>
      <c r="F301" t="str">
        <f t="shared" si="41"/>
        <v/>
      </c>
      <c r="G301" t="str">
        <f>IF(C301="","",ProcessUrl(E301,F301))</f>
        <v/>
      </c>
      <c r="H301" t="str">
        <f t="shared" si="42"/>
        <v/>
      </c>
      <c r="I301" t="str">
        <f t="shared" si="43"/>
        <v/>
      </c>
      <c r="J301" t="str">
        <f>IF(C301="","",ProcessUrl(H301,I301))</f>
        <v/>
      </c>
      <c r="K301" s="7" t="str">
        <f t="shared" si="44"/>
        <v/>
      </c>
      <c r="L301" s="7" t="str">
        <f t="shared" si="45"/>
        <v/>
      </c>
      <c r="M301" s="7" t="str">
        <f t="shared" si="46"/>
        <v/>
      </c>
      <c r="N301" s="7" t="str">
        <f t="shared" si="47"/>
        <v/>
      </c>
      <c r="O301" s="7" t="str">
        <f t="shared" si="48"/>
        <v/>
      </c>
      <c r="P301" t="str">
        <f t="shared" si="49"/>
        <v/>
      </c>
      <c r="Q301" t="str">
        <f>IF(C301="","",ProcessUrl(P301,"GetTestResults"))</f>
        <v/>
      </c>
      <c r="R301" s="10" t="str">
        <f>IF(C301="","",JsProcess("JsonItem",JsProcess("JsonItem",Q301,"Passed"),"count"))</f>
        <v/>
      </c>
      <c r="S301" s="10" t="str">
        <f>IF(C301="","",JsProcess("JsonItem",JsProcess("JsonItem",Q301,"NotExecuted"),"count"))</f>
        <v/>
      </c>
    </row>
    <row r="302" spans="4:19" x14ac:dyDescent="0.25">
      <c r="D302" t="str">
        <f>IF(C302="","",VLOOKUP(A302,Projects!A:B,2,FALSE))</f>
        <v/>
      </c>
      <c r="E302" s="1" t="str">
        <f t="shared" si="40"/>
        <v/>
      </c>
      <c r="F302" t="str">
        <f t="shared" si="41"/>
        <v/>
      </c>
      <c r="G302" t="str">
        <f>IF(C302="","",ProcessUrl(E302,F302))</f>
        <v/>
      </c>
      <c r="H302" t="str">
        <f t="shared" si="42"/>
        <v/>
      </c>
      <c r="I302" t="str">
        <f t="shared" si="43"/>
        <v/>
      </c>
      <c r="J302" t="str">
        <f>IF(C302="","",ProcessUrl(H302,I302))</f>
        <v/>
      </c>
      <c r="K302" s="7" t="str">
        <f t="shared" si="44"/>
        <v/>
      </c>
      <c r="L302" s="7" t="str">
        <f t="shared" si="45"/>
        <v/>
      </c>
      <c r="M302" s="7" t="str">
        <f t="shared" si="46"/>
        <v/>
      </c>
      <c r="N302" s="7" t="str">
        <f t="shared" si="47"/>
        <v/>
      </c>
      <c r="O302" s="7" t="str">
        <f t="shared" si="48"/>
        <v/>
      </c>
      <c r="P302" t="str">
        <f t="shared" si="49"/>
        <v/>
      </c>
      <c r="Q302" t="str">
        <f>IF(C302="","",ProcessUrl(P302,"GetTestResults"))</f>
        <v/>
      </c>
      <c r="R302" s="10" t="str">
        <f>IF(C302="","",JsProcess("JsonItem",JsProcess("JsonItem",Q302,"Passed"),"count"))</f>
        <v/>
      </c>
      <c r="S302" s="10" t="str">
        <f>IF(C302="","",JsProcess("JsonItem",JsProcess("JsonItem",Q302,"NotExecuted"),"count"))</f>
        <v/>
      </c>
    </row>
    <row r="303" spans="4:19" x14ac:dyDescent="0.25">
      <c r="D303" t="str">
        <f>IF(C303="","",VLOOKUP(A303,Projects!A:B,2,FALSE))</f>
        <v/>
      </c>
      <c r="E303" s="1" t="str">
        <f t="shared" si="40"/>
        <v/>
      </c>
      <c r="F303" t="str">
        <f t="shared" si="41"/>
        <v/>
      </c>
      <c r="G303" t="str">
        <f>IF(C303="","",ProcessUrl(E303,F303))</f>
        <v/>
      </c>
      <c r="H303" t="str">
        <f t="shared" si="42"/>
        <v/>
      </c>
      <c r="I303" t="str">
        <f t="shared" si="43"/>
        <v/>
      </c>
      <c r="J303" t="str">
        <f>IF(C303="","",ProcessUrl(H303,I303))</f>
        <v/>
      </c>
      <c r="K303" s="7" t="str">
        <f t="shared" si="44"/>
        <v/>
      </c>
      <c r="L303" s="7" t="str">
        <f t="shared" si="45"/>
        <v/>
      </c>
      <c r="M303" s="7" t="str">
        <f t="shared" si="46"/>
        <v/>
      </c>
      <c r="N303" s="7" t="str">
        <f t="shared" si="47"/>
        <v/>
      </c>
      <c r="O303" s="7" t="str">
        <f t="shared" si="48"/>
        <v/>
      </c>
      <c r="P303" t="str">
        <f t="shared" si="49"/>
        <v/>
      </c>
      <c r="Q303" t="str">
        <f>IF(C303="","",ProcessUrl(P303,"GetTestResults"))</f>
        <v/>
      </c>
      <c r="R303" s="10" t="str">
        <f>IF(C303="","",JsProcess("JsonItem",JsProcess("JsonItem",Q303,"Passed"),"count"))</f>
        <v/>
      </c>
      <c r="S303" s="10" t="str">
        <f>IF(C303="","",JsProcess("JsonItem",JsProcess("JsonItem",Q303,"NotExecuted"),"count"))</f>
        <v/>
      </c>
    </row>
    <row r="304" spans="4:19" x14ac:dyDescent="0.25">
      <c r="D304" t="str">
        <f>IF(C304="","",VLOOKUP(A304,Projects!A:B,2,FALSE))</f>
        <v/>
      </c>
      <c r="E304" s="1" t="str">
        <f t="shared" si="40"/>
        <v/>
      </c>
      <c r="F304" t="str">
        <f t="shared" si="41"/>
        <v/>
      </c>
      <c r="G304" t="str">
        <f>IF(C304="","",ProcessUrl(E304,F304))</f>
        <v/>
      </c>
      <c r="H304" t="str">
        <f t="shared" si="42"/>
        <v/>
      </c>
      <c r="I304" t="str">
        <f t="shared" si="43"/>
        <v/>
      </c>
      <c r="J304" t="str">
        <f>IF(C304="","",ProcessUrl(H304,I304))</f>
        <v/>
      </c>
      <c r="K304" s="7" t="str">
        <f t="shared" si="44"/>
        <v/>
      </c>
      <c r="L304" s="7" t="str">
        <f t="shared" si="45"/>
        <v/>
      </c>
      <c r="M304" s="7" t="str">
        <f t="shared" si="46"/>
        <v/>
      </c>
      <c r="N304" s="7" t="str">
        <f t="shared" si="47"/>
        <v/>
      </c>
      <c r="O304" s="7" t="str">
        <f t="shared" si="48"/>
        <v/>
      </c>
      <c r="P304" t="str">
        <f t="shared" si="49"/>
        <v/>
      </c>
      <c r="Q304" t="str">
        <f>IF(C304="","",ProcessUrl(P304,"GetTestResults"))</f>
        <v/>
      </c>
      <c r="R304" s="10" t="str">
        <f>IF(C304="","",JsProcess("JsonItem",JsProcess("JsonItem",Q304,"Passed"),"count"))</f>
        <v/>
      </c>
      <c r="S304" s="10" t="str">
        <f>IF(C304="","",JsProcess("JsonItem",JsProcess("JsonItem",Q304,"NotExecuted"),"count"))</f>
        <v/>
      </c>
    </row>
    <row r="305" spans="4:19" x14ac:dyDescent="0.25">
      <c r="D305" t="str">
        <f>IF(C305="","",VLOOKUP(A305,Projects!A:B,2,FALSE))</f>
        <v/>
      </c>
      <c r="E305" s="1" t="str">
        <f t="shared" si="40"/>
        <v/>
      </c>
      <c r="F305" t="str">
        <f t="shared" si="41"/>
        <v/>
      </c>
      <c r="G305" t="str">
        <f>IF(C305="","",ProcessUrl(E305,F305))</f>
        <v/>
      </c>
      <c r="H305" t="str">
        <f t="shared" si="42"/>
        <v/>
      </c>
      <c r="I305" t="str">
        <f t="shared" si="43"/>
        <v/>
      </c>
      <c r="J305" t="str">
        <f>IF(C305="","",ProcessUrl(H305,I305))</f>
        <v/>
      </c>
      <c r="K305" s="7" t="str">
        <f t="shared" si="44"/>
        <v/>
      </c>
      <c r="L305" s="7" t="str">
        <f t="shared" si="45"/>
        <v/>
      </c>
      <c r="M305" s="7" t="str">
        <f t="shared" si="46"/>
        <v/>
      </c>
      <c r="N305" s="7" t="str">
        <f t="shared" si="47"/>
        <v/>
      </c>
      <c r="O305" s="7" t="str">
        <f t="shared" si="48"/>
        <v/>
      </c>
      <c r="P305" t="str">
        <f t="shared" si="49"/>
        <v/>
      </c>
      <c r="Q305" t="str">
        <f>IF(C305="","",ProcessUrl(P305,"GetTestResults"))</f>
        <v/>
      </c>
      <c r="R305" s="10" t="str">
        <f>IF(C305="","",JsProcess("JsonItem",JsProcess("JsonItem",Q305,"Passed"),"count"))</f>
        <v/>
      </c>
      <c r="S305" s="10" t="str">
        <f>IF(C305="","",JsProcess("JsonItem",JsProcess("JsonItem",Q305,"NotExecuted"),"count"))</f>
        <v/>
      </c>
    </row>
    <row r="306" spans="4:19" x14ac:dyDescent="0.25">
      <c r="D306" t="str">
        <f>IF(C306="","",VLOOKUP(A306,Projects!A:B,2,FALSE))</f>
        <v/>
      </c>
      <c r="E306" s="1" t="str">
        <f t="shared" si="40"/>
        <v/>
      </c>
      <c r="F306" t="str">
        <f t="shared" si="41"/>
        <v/>
      </c>
      <c r="G306" t="str">
        <f>IF(C306="","",ProcessUrl(E306,F306))</f>
        <v/>
      </c>
      <c r="H306" t="str">
        <f t="shared" si="42"/>
        <v/>
      </c>
      <c r="I306" t="str">
        <f t="shared" si="43"/>
        <v/>
      </c>
      <c r="J306" t="str">
        <f>IF(C306="","",ProcessUrl(H306,I306))</f>
        <v/>
      </c>
      <c r="K306" s="7" t="str">
        <f t="shared" si="44"/>
        <v/>
      </c>
      <c r="L306" s="7" t="str">
        <f t="shared" si="45"/>
        <v/>
      </c>
      <c r="M306" s="7" t="str">
        <f t="shared" si="46"/>
        <v/>
      </c>
      <c r="N306" s="7" t="str">
        <f t="shared" si="47"/>
        <v/>
      </c>
      <c r="O306" s="7" t="str">
        <f t="shared" si="48"/>
        <v/>
      </c>
      <c r="P306" t="str">
        <f t="shared" si="49"/>
        <v/>
      </c>
      <c r="Q306" t="str">
        <f>IF(C306="","",ProcessUrl(P306,"GetTestResults"))</f>
        <v/>
      </c>
      <c r="R306" s="10" t="str">
        <f>IF(C306="","",JsProcess("JsonItem",JsProcess("JsonItem",Q306,"Passed"),"count"))</f>
        <v/>
      </c>
      <c r="S306" s="10" t="str">
        <f>IF(C306="","",JsProcess("JsonItem",JsProcess("JsonItem",Q306,"NotExecuted"),"count"))</f>
        <v/>
      </c>
    </row>
    <row r="307" spans="4:19" x14ac:dyDescent="0.25">
      <c r="D307" t="str">
        <f>IF(C307="","",VLOOKUP(A307,Projects!A:B,2,FALSE))</f>
        <v/>
      </c>
      <c r="E307" s="1" t="str">
        <f t="shared" si="40"/>
        <v/>
      </c>
      <c r="F307" t="str">
        <f t="shared" si="41"/>
        <v/>
      </c>
      <c r="G307" t="str">
        <f>IF(C307="","",ProcessUrl(E307,F307))</f>
        <v/>
      </c>
      <c r="H307" t="str">
        <f t="shared" si="42"/>
        <v/>
      </c>
      <c r="I307" t="str">
        <f t="shared" si="43"/>
        <v/>
      </c>
      <c r="J307" t="str">
        <f>IF(C307="","",ProcessUrl(H307,I307))</f>
        <v/>
      </c>
      <c r="K307" s="7" t="str">
        <f t="shared" si="44"/>
        <v/>
      </c>
      <c r="L307" s="7" t="str">
        <f t="shared" si="45"/>
        <v/>
      </c>
      <c r="M307" s="7" t="str">
        <f t="shared" si="46"/>
        <v/>
      </c>
      <c r="N307" s="7" t="str">
        <f t="shared" si="47"/>
        <v/>
      </c>
      <c r="O307" s="7" t="str">
        <f t="shared" si="48"/>
        <v/>
      </c>
      <c r="P307" t="str">
        <f t="shared" si="49"/>
        <v/>
      </c>
      <c r="Q307" t="str">
        <f>IF(C307="","",ProcessUrl(P307,"GetTestResults"))</f>
        <v/>
      </c>
      <c r="R307" s="10" t="str">
        <f>IF(C307="","",JsProcess("JsonItem",JsProcess("JsonItem",Q307,"Passed"),"count"))</f>
        <v/>
      </c>
      <c r="S307" s="10" t="str">
        <f>IF(C307="","",JsProcess("JsonItem",JsProcess("JsonItem",Q307,"NotExecuted"),"count"))</f>
        <v/>
      </c>
    </row>
    <row r="308" spans="4:19" x14ac:dyDescent="0.25">
      <c r="D308" t="str">
        <f>IF(C308="","",VLOOKUP(A308,Projects!A:B,2,FALSE))</f>
        <v/>
      </c>
      <c r="E308" s="1" t="str">
        <f t="shared" si="40"/>
        <v/>
      </c>
      <c r="F308" t="str">
        <f t="shared" si="41"/>
        <v/>
      </c>
      <c r="G308" t="str">
        <f>IF(C308="","",ProcessUrl(E308,F308))</f>
        <v/>
      </c>
      <c r="H308" t="str">
        <f t="shared" si="42"/>
        <v/>
      </c>
      <c r="I308" t="str">
        <f t="shared" si="43"/>
        <v/>
      </c>
      <c r="J308" t="str">
        <f>IF(C308="","",ProcessUrl(H308,I308))</f>
        <v/>
      </c>
      <c r="K308" s="7" t="str">
        <f t="shared" si="44"/>
        <v/>
      </c>
      <c r="L308" s="7" t="str">
        <f t="shared" si="45"/>
        <v/>
      </c>
      <c r="M308" s="7" t="str">
        <f t="shared" si="46"/>
        <v/>
      </c>
      <c r="N308" s="7" t="str">
        <f t="shared" si="47"/>
        <v/>
      </c>
      <c r="O308" s="7" t="str">
        <f t="shared" si="48"/>
        <v/>
      </c>
      <c r="P308" t="str">
        <f t="shared" si="49"/>
        <v/>
      </c>
      <c r="Q308" t="str">
        <f>IF(C308="","",ProcessUrl(P308,"GetTestResults"))</f>
        <v/>
      </c>
      <c r="R308" s="10" t="str">
        <f>IF(C308="","",JsProcess("JsonItem",JsProcess("JsonItem",Q308,"Passed"),"count"))</f>
        <v/>
      </c>
      <c r="S308" s="10" t="str">
        <f>IF(C308="","",JsProcess("JsonItem",JsProcess("JsonItem",Q308,"NotExecuted"),"count"))</f>
        <v/>
      </c>
    </row>
    <row r="309" spans="4:19" x14ac:dyDescent="0.25">
      <c r="D309" t="str">
        <f>IF(C309="","",VLOOKUP(A309,Projects!A:B,2,FALSE))</f>
        <v/>
      </c>
      <c r="E309" s="1" t="str">
        <f t="shared" si="40"/>
        <v/>
      </c>
      <c r="F309" t="str">
        <f t="shared" si="41"/>
        <v/>
      </c>
      <c r="G309" t="str">
        <f>IF(C309="","",ProcessUrl(E309,F309))</f>
        <v/>
      </c>
      <c r="H309" t="str">
        <f t="shared" si="42"/>
        <v/>
      </c>
      <c r="I309" t="str">
        <f t="shared" si="43"/>
        <v/>
      </c>
      <c r="J309" t="str">
        <f>IF(C309="","",ProcessUrl(H309,I309))</f>
        <v/>
      </c>
      <c r="K309" s="7" t="str">
        <f t="shared" si="44"/>
        <v/>
      </c>
      <c r="L309" s="7" t="str">
        <f t="shared" si="45"/>
        <v/>
      </c>
      <c r="M309" s="7" t="str">
        <f t="shared" si="46"/>
        <v/>
      </c>
      <c r="N309" s="7" t="str">
        <f t="shared" si="47"/>
        <v/>
      </c>
      <c r="O309" s="7" t="str">
        <f t="shared" si="48"/>
        <v/>
      </c>
      <c r="P309" t="str">
        <f t="shared" si="49"/>
        <v/>
      </c>
      <c r="Q309" t="str">
        <f>IF(C309="","",ProcessUrl(P309,"GetTestResults"))</f>
        <v/>
      </c>
      <c r="R309" s="10" t="str">
        <f>IF(C309="","",JsProcess("JsonItem",JsProcess("JsonItem",Q309,"Passed"),"count"))</f>
        <v/>
      </c>
      <c r="S309" s="10" t="str">
        <f>IF(C309="","",JsProcess("JsonItem",JsProcess("JsonItem",Q309,"NotExecuted"),"count"))</f>
        <v/>
      </c>
    </row>
    <row r="310" spans="4:19" x14ac:dyDescent="0.25">
      <c r="D310" t="str">
        <f>IF(C310="","",VLOOKUP(A310,Projects!A:B,2,FALSE))</f>
        <v/>
      </c>
      <c r="E310" s="1" t="str">
        <f t="shared" si="40"/>
        <v/>
      </c>
      <c r="F310" t="str">
        <f t="shared" si="41"/>
        <v/>
      </c>
      <c r="G310" t="str">
        <f>IF(C310="","",ProcessUrl(E310,F310))</f>
        <v/>
      </c>
      <c r="H310" t="str">
        <f t="shared" si="42"/>
        <v/>
      </c>
      <c r="I310" t="str">
        <f t="shared" si="43"/>
        <v/>
      </c>
      <c r="J310" t="str">
        <f>IF(C310="","",ProcessUrl(H310,I310))</f>
        <v/>
      </c>
      <c r="K310" s="7" t="str">
        <f t="shared" si="44"/>
        <v/>
      </c>
      <c r="L310" s="7" t="str">
        <f t="shared" si="45"/>
        <v/>
      </c>
      <c r="M310" s="7" t="str">
        <f t="shared" si="46"/>
        <v/>
      </c>
      <c r="N310" s="7" t="str">
        <f t="shared" si="47"/>
        <v/>
      </c>
      <c r="O310" s="7" t="str">
        <f t="shared" si="48"/>
        <v/>
      </c>
      <c r="P310" t="str">
        <f t="shared" si="49"/>
        <v/>
      </c>
      <c r="Q310" t="str">
        <f>IF(C310="","",ProcessUrl(P310,"GetTestResults"))</f>
        <v/>
      </c>
      <c r="R310" s="10" t="str">
        <f>IF(C310="","",JsProcess("JsonItem",JsProcess("JsonItem",Q310,"Passed"),"count"))</f>
        <v/>
      </c>
      <c r="S310" s="10" t="str">
        <f>IF(C310="","",JsProcess("JsonItem",JsProcess("JsonItem",Q310,"NotExecuted"),"count"))</f>
        <v/>
      </c>
    </row>
    <row r="311" spans="4:19" x14ac:dyDescent="0.25">
      <c r="D311" t="str">
        <f>IF(C311="","",VLOOKUP(A311,Projects!A:B,2,FALSE))</f>
        <v/>
      </c>
      <c r="E311" s="1" t="str">
        <f t="shared" si="40"/>
        <v/>
      </c>
      <c r="F311" t="str">
        <f t="shared" si="41"/>
        <v/>
      </c>
      <c r="G311" t="str">
        <f>IF(C311="","",ProcessUrl(E311,F311))</f>
        <v/>
      </c>
      <c r="H311" t="str">
        <f t="shared" si="42"/>
        <v/>
      </c>
      <c r="I311" t="str">
        <f t="shared" si="43"/>
        <v/>
      </c>
      <c r="J311" t="str">
        <f>IF(C311="","",ProcessUrl(H311,I311))</f>
        <v/>
      </c>
      <c r="K311" s="7" t="str">
        <f t="shared" si="44"/>
        <v/>
      </c>
      <c r="L311" s="7" t="str">
        <f t="shared" si="45"/>
        <v/>
      </c>
      <c r="M311" s="7" t="str">
        <f t="shared" si="46"/>
        <v/>
      </c>
      <c r="N311" s="7" t="str">
        <f t="shared" si="47"/>
        <v/>
      </c>
      <c r="O311" s="7" t="str">
        <f t="shared" si="48"/>
        <v/>
      </c>
      <c r="P311" t="str">
        <f t="shared" si="49"/>
        <v/>
      </c>
      <c r="Q311" t="str">
        <f>IF(C311="","",ProcessUrl(P311,"GetTestResults"))</f>
        <v/>
      </c>
      <c r="R311" s="10" t="str">
        <f>IF(C311="","",JsProcess("JsonItem",JsProcess("JsonItem",Q311,"Passed"),"count"))</f>
        <v/>
      </c>
      <c r="S311" s="10" t="str">
        <f>IF(C311="","",JsProcess("JsonItem",JsProcess("JsonItem",Q311,"NotExecuted"),"count"))</f>
        <v/>
      </c>
    </row>
    <row r="312" spans="4:19" x14ac:dyDescent="0.25">
      <c r="D312" t="str">
        <f>IF(C312="","",VLOOKUP(A312,Projects!A:B,2,FALSE))</f>
        <v/>
      </c>
      <c r="E312" s="1" t="str">
        <f t="shared" si="40"/>
        <v/>
      </c>
      <c r="F312" t="str">
        <f t="shared" si="41"/>
        <v/>
      </c>
      <c r="G312" t="str">
        <f>IF(C312="","",ProcessUrl(E312,F312))</f>
        <v/>
      </c>
      <c r="H312" t="str">
        <f t="shared" si="42"/>
        <v/>
      </c>
      <c r="I312" t="str">
        <f t="shared" si="43"/>
        <v/>
      </c>
      <c r="J312" t="str">
        <f>IF(C312="","",ProcessUrl(H312,I312))</f>
        <v/>
      </c>
      <c r="K312" s="7" t="str">
        <f t="shared" si="44"/>
        <v/>
      </c>
      <c r="L312" s="7" t="str">
        <f t="shared" si="45"/>
        <v/>
      </c>
      <c r="M312" s="7" t="str">
        <f t="shared" si="46"/>
        <v/>
      </c>
      <c r="N312" s="7" t="str">
        <f t="shared" si="47"/>
        <v/>
      </c>
      <c r="O312" s="7" t="str">
        <f t="shared" si="48"/>
        <v/>
      </c>
      <c r="P312" t="str">
        <f t="shared" si="49"/>
        <v/>
      </c>
      <c r="Q312" t="str">
        <f>IF(C312="","",ProcessUrl(P312,"GetTestResults"))</f>
        <v/>
      </c>
      <c r="R312" s="10" t="str">
        <f>IF(C312="","",JsProcess("JsonItem",JsProcess("JsonItem",Q312,"Passed"),"count"))</f>
        <v/>
      </c>
      <c r="S312" s="10" t="str">
        <f>IF(C312="","",JsProcess("JsonItem",JsProcess("JsonItem",Q312,"NotExecuted"),"count"))</f>
        <v/>
      </c>
    </row>
    <row r="313" spans="4:19" x14ac:dyDescent="0.25">
      <c r="D313" t="str">
        <f>IF(C313="","",VLOOKUP(A313,Projects!A:B,2,FALSE))</f>
        <v/>
      </c>
      <c r="E313" s="1" t="str">
        <f t="shared" si="40"/>
        <v/>
      </c>
      <c r="F313" t="str">
        <f t="shared" si="41"/>
        <v/>
      </c>
      <c r="G313" t="str">
        <f>IF(C313="","",ProcessUrl(E313,F313))</f>
        <v/>
      </c>
      <c r="H313" t="str">
        <f t="shared" si="42"/>
        <v/>
      </c>
      <c r="I313" t="str">
        <f t="shared" si="43"/>
        <v/>
      </c>
      <c r="J313" t="str">
        <f>IF(C313="","",ProcessUrl(H313,I313))</f>
        <v/>
      </c>
      <c r="K313" s="7" t="str">
        <f t="shared" si="44"/>
        <v/>
      </c>
      <c r="L313" s="7" t="str">
        <f t="shared" si="45"/>
        <v/>
      </c>
      <c r="M313" s="7" t="str">
        <f t="shared" si="46"/>
        <v/>
      </c>
      <c r="N313" s="7" t="str">
        <f t="shared" si="47"/>
        <v/>
      </c>
      <c r="O313" s="7" t="str">
        <f t="shared" si="48"/>
        <v/>
      </c>
      <c r="P313" t="str">
        <f t="shared" si="49"/>
        <v/>
      </c>
      <c r="Q313" t="str">
        <f>IF(C313="","",ProcessUrl(P313,"GetTestResults"))</f>
        <v/>
      </c>
      <c r="R313" s="10" t="str">
        <f>IF(C313="","",JsProcess("JsonItem",JsProcess("JsonItem",Q313,"Passed"),"count"))</f>
        <v/>
      </c>
      <c r="S313" s="10" t="str">
        <f>IF(C313="","",JsProcess("JsonItem",JsProcess("JsonItem",Q313,"NotExecuted"),"count"))</f>
        <v/>
      </c>
    </row>
    <row r="314" spans="4:19" x14ac:dyDescent="0.25">
      <c r="D314" t="str">
        <f>IF(C314="","",VLOOKUP(A314,Projects!A:B,2,FALSE))</f>
        <v/>
      </c>
      <c r="E314" s="1" t="str">
        <f t="shared" si="40"/>
        <v/>
      </c>
      <c r="F314" t="str">
        <f t="shared" si="41"/>
        <v/>
      </c>
      <c r="G314" t="str">
        <f>IF(C314="","",ProcessUrl(E314,F314))</f>
        <v/>
      </c>
      <c r="H314" t="str">
        <f t="shared" si="42"/>
        <v/>
      </c>
      <c r="I314" t="str">
        <f t="shared" si="43"/>
        <v/>
      </c>
      <c r="J314" t="str">
        <f>IF(C314="","",ProcessUrl(H314,I314))</f>
        <v/>
      </c>
      <c r="K314" s="7" t="str">
        <f t="shared" si="44"/>
        <v/>
      </c>
      <c r="L314" s="7" t="str">
        <f t="shared" si="45"/>
        <v/>
      </c>
      <c r="M314" s="7" t="str">
        <f t="shared" si="46"/>
        <v/>
      </c>
      <c r="N314" s="7" t="str">
        <f t="shared" si="47"/>
        <v/>
      </c>
      <c r="O314" s="7" t="str">
        <f t="shared" si="48"/>
        <v/>
      </c>
      <c r="P314" t="str">
        <f t="shared" si="49"/>
        <v/>
      </c>
      <c r="Q314" t="str">
        <f>IF(C314="","",ProcessUrl(P314,"GetTestResults"))</f>
        <v/>
      </c>
      <c r="R314" s="10" t="str">
        <f>IF(C314="","",JsProcess("JsonItem",JsProcess("JsonItem",Q314,"Passed"),"count"))</f>
        <v/>
      </c>
      <c r="S314" s="10" t="str">
        <f>IF(C314="","",JsProcess("JsonItem",JsProcess("JsonItem",Q314,"NotExecuted"),"count"))</f>
        <v/>
      </c>
    </row>
    <row r="315" spans="4:19" x14ac:dyDescent="0.25">
      <c r="D315" t="str">
        <f>IF(C315="","",VLOOKUP(A315,Projects!A:B,2,FALSE))</f>
        <v/>
      </c>
      <c r="E315" s="1" t="str">
        <f t="shared" si="40"/>
        <v/>
      </c>
      <c r="F315" t="str">
        <f t="shared" si="41"/>
        <v/>
      </c>
      <c r="G315" t="str">
        <f>IF(C315="","",ProcessUrl(E315,F315))</f>
        <v/>
      </c>
      <c r="H315" t="str">
        <f t="shared" si="42"/>
        <v/>
      </c>
      <c r="I315" t="str">
        <f t="shared" si="43"/>
        <v/>
      </c>
      <c r="J315" t="str">
        <f>IF(C315="","",ProcessUrl(H315,I315))</f>
        <v/>
      </c>
      <c r="K315" s="7" t="str">
        <f t="shared" si="44"/>
        <v/>
      </c>
      <c r="L315" s="7" t="str">
        <f t="shared" si="45"/>
        <v/>
      </c>
      <c r="M315" s="7" t="str">
        <f t="shared" si="46"/>
        <v/>
      </c>
      <c r="N315" s="7" t="str">
        <f t="shared" si="47"/>
        <v/>
      </c>
      <c r="O315" s="7" t="str">
        <f t="shared" si="48"/>
        <v/>
      </c>
      <c r="P315" t="str">
        <f t="shared" si="49"/>
        <v/>
      </c>
      <c r="Q315" t="str">
        <f>IF(C315="","",ProcessUrl(P315,"GetTestResults"))</f>
        <v/>
      </c>
      <c r="R315" s="10" t="str">
        <f>IF(C315="","",JsProcess("JsonItem",JsProcess("JsonItem",Q315,"Passed"),"count"))</f>
        <v/>
      </c>
      <c r="S315" s="10" t="str">
        <f>IF(C315="","",JsProcess("JsonItem",JsProcess("JsonItem",Q315,"NotExecuted"),"count"))</f>
        <v/>
      </c>
    </row>
    <row r="316" spans="4:19" x14ac:dyDescent="0.25">
      <c r="D316" t="str">
        <f>IF(C316="","",VLOOKUP(A316,Projects!A:B,2,FALSE))</f>
        <v/>
      </c>
      <c r="E316" s="1" t="str">
        <f t="shared" si="40"/>
        <v/>
      </c>
      <c r="F316" t="str">
        <f t="shared" si="41"/>
        <v/>
      </c>
      <c r="G316" t="str">
        <f>IF(C316="","",ProcessUrl(E316,F316))</f>
        <v/>
      </c>
      <c r="H316" t="str">
        <f t="shared" si="42"/>
        <v/>
      </c>
      <c r="I316" t="str">
        <f t="shared" si="43"/>
        <v/>
      </c>
      <c r="J316" t="str">
        <f>IF(C316="","",ProcessUrl(H316,I316))</f>
        <v/>
      </c>
      <c r="K316" s="7" t="str">
        <f t="shared" si="44"/>
        <v/>
      </c>
      <c r="L316" s="7" t="str">
        <f t="shared" si="45"/>
        <v/>
      </c>
      <c r="M316" s="7" t="str">
        <f t="shared" si="46"/>
        <v/>
      </c>
      <c r="N316" s="7" t="str">
        <f t="shared" si="47"/>
        <v/>
      </c>
      <c r="O316" s="7" t="str">
        <f t="shared" si="48"/>
        <v/>
      </c>
      <c r="P316" t="str">
        <f t="shared" si="49"/>
        <v/>
      </c>
      <c r="Q316" t="str">
        <f>IF(C316="","",ProcessUrl(P316,"GetTestResults"))</f>
        <v/>
      </c>
      <c r="R316" s="10" t="str">
        <f>IF(C316="","",JsProcess("JsonItem",JsProcess("JsonItem",Q316,"Passed"),"count"))</f>
        <v/>
      </c>
      <c r="S316" s="10" t="str">
        <f>IF(C316="","",JsProcess("JsonItem",JsProcess("JsonItem",Q316,"NotExecuted"),"count"))</f>
        <v/>
      </c>
    </row>
    <row r="317" spans="4:19" x14ac:dyDescent="0.25">
      <c r="D317" t="str">
        <f>IF(C317="","",VLOOKUP(A317,Projects!A:B,2,FALSE))</f>
        <v/>
      </c>
      <c r="E317" s="1" t="str">
        <f t="shared" si="40"/>
        <v/>
      </c>
      <c r="F317" t="str">
        <f t="shared" si="41"/>
        <v/>
      </c>
      <c r="G317" t="str">
        <f>IF(C317="","",ProcessUrl(E317,F317))</f>
        <v/>
      </c>
      <c r="H317" t="str">
        <f t="shared" si="42"/>
        <v/>
      </c>
      <c r="I317" t="str">
        <f t="shared" si="43"/>
        <v/>
      </c>
      <c r="J317" t="str">
        <f>IF(C317="","",ProcessUrl(H317,I317))</f>
        <v/>
      </c>
      <c r="K317" s="7" t="str">
        <f t="shared" si="44"/>
        <v/>
      </c>
      <c r="L317" s="7" t="str">
        <f t="shared" si="45"/>
        <v/>
      </c>
      <c r="M317" s="7" t="str">
        <f t="shared" si="46"/>
        <v/>
      </c>
      <c r="N317" s="7" t="str">
        <f t="shared" si="47"/>
        <v/>
      </c>
      <c r="O317" s="7" t="str">
        <f t="shared" si="48"/>
        <v/>
      </c>
      <c r="P317" t="str">
        <f t="shared" si="49"/>
        <v/>
      </c>
      <c r="Q317" t="str">
        <f>IF(C317="","",ProcessUrl(P317,"GetTestResults"))</f>
        <v/>
      </c>
      <c r="R317" s="10" t="str">
        <f>IF(C317="","",JsProcess("JsonItem",JsProcess("JsonItem",Q317,"Passed"),"count"))</f>
        <v/>
      </c>
      <c r="S317" s="10" t="str">
        <f>IF(C317="","",JsProcess("JsonItem",JsProcess("JsonItem",Q317,"NotExecuted"),"count"))</f>
        <v/>
      </c>
    </row>
    <row r="318" spans="4:19" x14ac:dyDescent="0.25">
      <c r="D318" t="str">
        <f>IF(C318="","",VLOOKUP(A318,Projects!A:B,2,FALSE))</f>
        <v/>
      </c>
      <c r="E318" s="1" t="str">
        <f t="shared" si="40"/>
        <v/>
      </c>
      <c r="F318" t="str">
        <f t="shared" si="41"/>
        <v/>
      </c>
      <c r="G318" t="str">
        <f>IF(C318="","",ProcessUrl(E318,F318))</f>
        <v/>
      </c>
      <c r="H318" t="str">
        <f t="shared" si="42"/>
        <v/>
      </c>
      <c r="I318" t="str">
        <f t="shared" si="43"/>
        <v/>
      </c>
      <c r="J318" t="str">
        <f>IF(C318="","",ProcessUrl(H318,I318))</f>
        <v/>
      </c>
      <c r="K318" s="7" t="str">
        <f t="shared" si="44"/>
        <v/>
      </c>
      <c r="L318" s="7" t="str">
        <f t="shared" si="45"/>
        <v/>
      </c>
      <c r="M318" s="7" t="str">
        <f t="shared" si="46"/>
        <v/>
      </c>
      <c r="N318" s="7" t="str">
        <f t="shared" si="47"/>
        <v/>
      </c>
      <c r="O318" s="7" t="str">
        <f t="shared" si="48"/>
        <v/>
      </c>
      <c r="P318" t="str">
        <f t="shared" si="49"/>
        <v/>
      </c>
      <c r="Q318" t="str">
        <f>IF(C318="","",ProcessUrl(P318,"GetTestResults"))</f>
        <v/>
      </c>
      <c r="R318" s="10" t="str">
        <f>IF(C318="","",JsProcess("JsonItem",JsProcess("JsonItem",Q318,"Passed"),"count"))</f>
        <v/>
      </c>
      <c r="S318" s="10" t="str">
        <f>IF(C318="","",JsProcess("JsonItem",JsProcess("JsonItem",Q318,"NotExecuted"),"count"))</f>
        <v/>
      </c>
    </row>
    <row r="319" spans="4:19" x14ac:dyDescent="0.25">
      <c r="D319" t="str">
        <f>IF(C319="","",VLOOKUP(A319,Projects!A:B,2,FALSE))</f>
        <v/>
      </c>
      <c r="E319" s="1" t="str">
        <f t="shared" si="40"/>
        <v/>
      </c>
      <c r="F319" t="str">
        <f t="shared" si="41"/>
        <v/>
      </c>
      <c r="G319" t="str">
        <f>IF(C319="","",ProcessUrl(E319,F319))</f>
        <v/>
      </c>
      <c r="H319" t="str">
        <f t="shared" si="42"/>
        <v/>
      </c>
      <c r="I319" t="str">
        <f t="shared" si="43"/>
        <v/>
      </c>
      <c r="J319" t="str">
        <f>IF(C319="","",ProcessUrl(H319,I319))</f>
        <v/>
      </c>
      <c r="K319" s="7" t="str">
        <f t="shared" si="44"/>
        <v/>
      </c>
      <c r="L319" s="7" t="str">
        <f t="shared" si="45"/>
        <v/>
      </c>
      <c r="M319" s="7" t="str">
        <f t="shared" si="46"/>
        <v/>
      </c>
      <c r="N319" s="7" t="str">
        <f t="shared" si="47"/>
        <v/>
      </c>
      <c r="O319" s="7" t="str">
        <f t="shared" si="48"/>
        <v/>
      </c>
      <c r="P319" t="str">
        <f t="shared" si="49"/>
        <v/>
      </c>
      <c r="Q319" t="str">
        <f>IF(C319="","",ProcessUrl(P319,"GetTestResults"))</f>
        <v/>
      </c>
      <c r="R319" s="10" t="str">
        <f>IF(C319="","",JsProcess("JsonItem",JsProcess("JsonItem",Q319,"Passed"),"count"))</f>
        <v/>
      </c>
      <c r="S319" s="10" t="str">
        <f>IF(C319="","",JsProcess("JsonItem",JsProcess("JsonItem",Q319,"NotExecuted"),"count"))</f>
        <v/>
      </c>
    </row>
    <row r="320" spans="4:19" x14ac:dyDescent="0.25">
      <c r="D320" t="str">
        <f>IF(C320="","",VLOOKUP(A320,Projects!A:B,2,FALSE))</f>
        <v/>
      </c>
      <c r="E320" s="1" t="str">
        <f t="shared" si="40"/>
        <v/>
      </c>
      <c r="F320" t="str">
        <f t="shared" si="41"/>
        <v/>
      </c>
      <c r="G320" t="str">
        <f>IF(C320="","",ProcessUrl(E320,F320))</f>
        <v/>
      </c>
      <c r="H320" t="str">
        <f t="shared" si="42"/>
        <v/>
      </c>
      <c r="I320" t="str">
        <f t="shared" si="43"/>
        <v/>
      </c>
      <c r="J320" t="str">
        <f>IF(C320="","",ProcessUrl(H320,I320))</f>
        <v/>
      </c>
      <c r="K320" s="7" t="str">
        <f t="shared" si="44"/>
        <v/>
      </c>
      <c r="L320" s="7" t="str">
        <f t="shared" si="45"/>
        <v/>
      </c>
      <c r="M320" s="7" t="str">
        <f t="shared" si="46"/>
        <v/>
      </c>
      <c r="N320" s="7" t="str">
        <f t="shared" si="47"/>
        <v/>
      </c>
      <c r="O320" s="7" t="str">
        <f t="shared" si="48"/>
        <v/>
      </c>
      <c r="P320" t="str">
        <f t="shared" si="49"/>
        <v/>
      </c>
      <c r="Q320" t="str">
        <f>IF(C320="","",ProcessUrl(P320,"GetTestResults"))</f>
        <v/>
      </c>
      <c r="R320" s="10" t="str">
        <f>IF(C320="","",JsProcess("JsonItem",JsProcess("JsonItem",Q320,"Passed"),"count"))</f>
        <v/>
      </c>
      <c r="S320" s="10" t="str">
        <f>IF(C320="","",JsProcess("JsonItem",JsProcess("JsonItem",Q320,"NotExecuted"),"count"))</f>
        <v/>
      </c>
    </row>
    <row r="321" spans="4:19" x14ac:dyDescent="0.25">
      <c r="D321" t="str">
        <f>IF(C321="","",VLOOKUP(A321,Projects!A:B,2,FALSE))</f>
        <v/>
      </c>
      <c r="E321" s="1" t="str">
        <f t="shared" si="40"/>
        <v/>
      </c>
      <c r="F321" t="str">
        <f t="shared" si="41"/>
        <v/>
      </c>
      <c r="G321" t="str">
        <f>IF(C321="","",ProcessUrl(E321,F321))</f>
        <v/>
      </c>
      <c r="H321" t="str">
        <f t="shared" si="42"/>
        <v/>
      </c>
      <c r="I321" t="str">
        <f t="shared" si="43"/>
        <v/>
      </c>
      <c r="J321" t="str">
        <f>IF(C321="","",ProcessUrl(H321,I321))</f>
        <v/>
      </c>
      <c r="K321" s="7" t="str">
        <f t="shared" si="44"/>
        <v/>
      </c>
      <c r="L321" s="7" t="str">
        <f t="shared" si="45"/>
        <v/>
      </c>
      <c r="M321" s="7" t="str">
        <f t="shared" si="46"/>
        <v/>
      </c>
      <c r="N321" s="7" t="str">
        <f t="shared" si="47"/>
        <v/>
      </c>
      <c r="O321" s="7" t="str">
        <f t="shared" si="48"/>
        <v/>
      </c>
      <c r="P321" t="str">
        <f t="shared" si="49"/>
        <v/>
      </c>
      <c r="Q321" t="str">
        <f>IF(C321="","",ProcessUrl(P321,"GetTestResults"))</f>
        <v/>
      </c>
      <c r="R321" s="10" t="str">
        <f>IF(C321="","",JsProcess("JsonItem",JsProcess("JsonItem",Q321,"Passed"),"count"))</f>
        <v/>
      </c>
      <c r="S321" s="10" t="str">
        <f>IF(C321="","",JsProcess("JsonItem",JsProcess("JsonItem",Q321,"NotExecuted"),"count"))</f>
        <v/>
      </c>
    </row>
    <row r="322" spans="4:19" x14ac:dyDescent="0.25">
      <c r="D322" t="str">
        <f>IF(C322="","",VLOOKUP(A322,Projects!A:B,2,FALSE))</f>
        <v/>
      </c>
      <c r="E322" s="1" t="str">
        <f t="shared" si="40"/>
        <v/>
      </c>
      <c r="F322" t="str">
        <f t="shared" si="41"/>
        <v/>
      </c>
      <c r="G322" t="str">
        <f>IF(C322="","",ProcessUrl(E322,F322))</f>
        <v/>
      </c>
      <c r="H322" t="str">
        <f t="shared" si="42"/>
        <v/>
      </c>
      <c r="I322" t="str">
        <f t="shared" si="43"/>
        <v/>
      </c>
      <c r="J322" t="str">
        <f>IF(C322="","",ProcessUrl(H322,I322))</f>
        <v/>
      </c>
      <c r="K322" s="7" t="str">
        <f t="shared" si="44"/>
        <v/>
      </c>
      <c r="L322" s="7" t="str">
        <f t="shared" si="45"/>
        <v/>
      </c>
      <c r="M322" s="7" t="str">
        <f t="shared" si="46"/>
        <v/>
      </c>
      <c r="N322" s="7" t="str">
        <f t="shared" si="47"/>
        <v/>
      </c>
      <c r="O322" s="7" t="str">
        <f t="shared" si="48"/>
        <v/>
      </c>
      <c r="P322" t="str">
        <f t="shared" si="49"/>
        <v/>
      </c>
      <c r="Q322" t="str">
        <f>IF(C322="","",ProcessUrl(P322,"GetTestResults"))</f>
        <v/>
      </c>
      <c r="R322" s="10" t="str">
        <f>IF(C322="","",JsProcess("JsonItem",JsProcess("JsonItem",Q322,"Passed"),"count"))</f>
        <v/>
      </c>
      <c r="S322" s="10" t="str">
        <f>IF(C322="","",JsProcess("JsonItem",JsProcess("JsonItem",Q322,"NotExecuted"),"count"))</f>
        <v/>
      </c>
    </row>
    <row r="323" spans="4:19" x14ac:dyDescent="0.25">
      <c r="D323" t="str">
        <f>IF(C323="","",VLOOKUP(A323,Projects!A:B,2,FALSE))</f>
        <v/>
      </c>
      <c r="E323" s="1" t="str">
        <f t="shared" si="40"/>
        <v/>
      </c>
      <c r="F323" t="str">
        <f t="shared" si="41"/>
        <v/>
      </c>
      <c r="G323" t="str">
        <f>IF(C323="","",ProcessUrl(E323,F323))</f>
        <v/>
      </c>
      <c r="H323" t="str">
        <f t="shared" si="42"/>
        <v/>
      </c>
      <c r="I323" t="str">
        <f t="shared" si="43"/>
        <v/>
      </c>
      <c r="J323" t="str">
        <f>IF(C323="","",ProcessUrl(H323,I323))</f>
        <v/>
      </c>
      <c r="K323" s="7" t="str">
        <f t="shared" si="44"/>
        <v/>
      </c>
      <c r="L323" s="7" t="str">
        <f t="shared" si="45"/>
        <v/>
      </c>
      <c r="M323" s="7" t="str">
        <f t="shared" si="46"/>
        <v/>
      </c>
      <c r="N323" s="7" t="str">
        <f t="shared" si="47"/>
        <v/>
      </c>
      <c r="O323" s="7" t="str">
        <f t="shared" si="48"/>
        <v/>
      </c>
      <c r="P323" t="str">
        <f t="shared" si="49"/>
        <v/>
      </c>
      <c r="Q323" t="str">
        <f>IF(C323="","",ProcessUrl(P323,"GetTestResults"))</f>
        <v/>
      </c>
      <c r="R323" s="10" t="str">
        <f>IF(C323="","",JsProcess("JsonItem",JsProcess("JsonItem",Q323,"Passed"),"count"))</f>
        <v/>
      </c>
      <c r="S323" s="10" t="str">
        <f>IF(C323="","",JsProcess("JsonItem",JsProcess("JsonItem",Q323,"NotExecuted"),"count"))</f>
        <v/>
      </c>
    </row>
    <row r="324" spans="4:19" x14ac:dyDescent="0.25">
      <c r="D324" t="str">
        <f>IF(C324="","",VLOOKUP(A324,Projects!A:B,2,FALSE))</f>
        <v/>
      </c>
      <c r="E324" s="1" t="str">
        <f t="shared" ref="E324:E387" si="50">IF(C324="","","http://tfs.ttx.com:8080/tfs/DefaultCollection/"&amp;D324&amp;"/_apis/build/Builds?%24top=25&amp;statusFilter=2&amp;definitions="&amp;C324)</f>
        <v/>
      </c>
      <c r="F324" t="str">
        <f t="shared" ref="F324:F387" si="51">IF(C324="","","GetRecentBuildId")</f>
        <v/>
      </c>
      <c r="G324" t="str">
        <f>IF(C324="","",ProcessUrl(E324,F324))</f>
        <v/>
      </c>
      <c r="H324" t="str">
        <f t="shared" ref="H324:H387" si="52">IF(C324="","","http://tfs.ttx.com:8080/tfs/DefaultCollection/"&amp;D324&amp;"/_apis/test/CodeCoverage?buildId="&amp;G324&amp;"&amp;flags=1")</f>
        <v/>
      </c>
      <c r="I324" t="str">
        <f t="shared" ref="I324:I387" si="53">IF(C324="","","GetCodeCoverage")</f>
        <v/>
      </c>
      <c r="J324" t="str">
        <f>IF(C324="","",ProcessUrl(H324,I324))</f>
        <v/>
      </c>
      <c r="K324" s="7" t="str">
        <f t="shared" ref="K324:K387" si="54">IF(C324="","",JsProcess("JsonItem",J324,"blocksCovered"))</f>
        <v/>
      </c>
      <c r="L324" s="7" t="str">
        <f t="shared" ref="L324:L387" si="55">IF(C324="","",JsProcess("JsonItem",J324,"blocksNotCovered"))</f>
        <v/>
      </c>
      <c r="M324" s="7" t="str">
        <f t="shared" ref="M324:M387" si="56">IF(C324="","",JsProcess("JsonItem",J324,"linesCovered"))</f>
        <v/>
      </c>
      <c r="N324" s="7" t="str">
        <f t="shared" ref="N324:N387" si="57">IF(C324="","",JsProcess("JsonItem",J324,"linesNotCovered"))</f>
        <v/>
      </c>
      <c r="O324" s="7" t="str">
        <f t="shared" ref="O324:O387" si="58">IF(C324="","",JsProcess("JsonItem",J324,"linesPartiallyCovered"))</f>
        <v/>
      </c>
      <c r="P324" t="str">
        <f t="shared" ref="P324:P387" si="59">IF(C324="","","http://tfs.ttx.com:8080/tfs/DefaultCollection/"&amp;A324&amp;"/_apis/test/ReportForBuild/"&amp;G324&amp;"?sourceWorkflow=CI&amp;includeFailureDetails=true ")</f>
        <v/>
      </c>
      <c r="Q324" t="str">
        <f>IF(C324="","",ProcessUrl(P324,"GetTestResults"))</f>
        <v/>
      </c>
      <c r="R324" s="10" t="str">
        <f>IF(C324="","",JsProcess("JsonItem",JsProcess("JsonItem",Q324,"Passed"),"count"))</f>
        <v/>
      </c>
      <c r="S324" s="10" t="str">
        <f>IF(C324="","",JsProcess("JsonItem",JsProcess("JsonItem",Q324,"NotExecuted"),"count"))</f>
        <v/>
      </c>
    </row>
    <row r="325" spans="4:19" x14ac:dyDescent="0.25">
      <c r="D325" t="str">
        <f>IF(C325="","",VLOOKUP(A325,Projects!A:B,2,FALSE))</f>
        <v/>
      </c>
      <c r="E325" s="1" t="str">
        <f t="shared" si="50"/>
        <v/>
      </c>
      <c r="F325" t="str">
        <f t="shared" si="51"/>
        <v/>
      </c>
      <c r="G325" t="str">
        <f>IF(C325="","",ProcessUrl(E325,F325))</f>
        <v/>
      </c>
      <c r="H325" t="str">
        <f t="shared" si="52"/>
        <v/>
      </c>
      <c r="I325" t="str">
        <f t="shared" si="53"/>
        <v/>
      </c>
      <c r="J325" t="str">
        <f>IF(C325="","",ProcessUrl(H325,I325))</f>
        <v/>
      </c>
      <c r="K325" s="7" t="str">
        <f t="shared" si="54"/>
        <v/>
      </c>
      <c r="L325" s="7" t="str">
        <f t="shared" si="55"/>
        <v/>
      </c>
      <c r="M325" s="7" t="str">
        <f t="shared" si="56"/>
        <v/>
      </c>
      <c r="N325" s="7" t="str">
        <f t="shared" si="57"/>
        <v/>
      </c>
      <c r="O325" s="7" t="str">
        <f t="shared" si="58"/>
        <v/>
      </c>
      <c r="P325" t="str">
        <f t="shared" si="59"/>
        <v/>
      </c>
      <c r="Q325" t="str">
        <f>IF(C325="","",ProcessUrl(P325,"GetTestResults"))</f>
        <v/>
      </c>
      <c r="R325" s="10" t="str">
        <f>IF(C325="","",JsProcess("JsonItem",JsProcess("JsonItem",Q325,"Passed"),"count"))</f>
        <v/>
      </c>
      <c r="S325" s="10" t="str">
        <f>IF(C325="","",JsProcess("JsonItem",JsProcess("JsonItem",Q325,"NotExecuted"),"count"))</f>
        <v/>
      </c>
    </row>
    <row r="326" spans="4:19" x14ac:dyDescent="0.25">
      <c r="D326" t="str">
        <f>IF(C326="","",VLOOKUP(A326,Projects!A:B,2,FALSE))</f>
        <v/>
      </c>
      <c r="E326" s="1" t="str">
        <f t="shared" si="50"/>
        <v/>
      </c>
      <c r="F326" t="str">
        <f t="shared" si="51"/>
        <v/>
      </c>
      <c r="G326" t="str">
        <f>IF(C326="","",ProcessUrl(E326,F326))</f>
        <v/>
      </c>
      <c r="H326" t="str">
        <f t="shared" si="52"/>
        <v/>
      </c>
      <c r="I326" t="str">
        <f t="shared" si="53"/>
        <v/>
      </c>
      <c r="J326" t="str">
        <f>IF(C326="","",ProcessUrl(H326,I326))</f>
        <v/>
      </c>
      <c r="K326" s="7" t="str">
        <f t="shared" si="54"/>
        <v/>
      </c>
      <c r="L326" s="7" t="str">
        <f t="shared" si="55"/>
        <v/>
      </c>
      <c r="M326" s="7" t="str">
        <f t="shared" si="56"/>
        <v/>
      </c>
      <c r="N326" s="7" t="str">
        <f t="shared" si="57"/>
        <v/>
      </c>
      <c r="O326" s="7" t="str">
        <f t="shared" si="58"/>
        <v/>
      </c>
      <c r="P326" t="str">
        <f t="shared" si="59"/>
        <v/>
      </c>
      <c r="Q326" t="str">
        <f>IF(C326="","",ProcessUrl(P326,"GetTestResults"))</f>
        <v/>
      </c>
      <c r="R326" s="10" t="str">
        <f>IF(C326="","",JsProcess("JsonItem",JsProcess("JsonItem",Q326,"Passed"),"count"))</f>
        <v/>
      </c>
      <c r="S326" s="10" t="str">
        <f>IF(C326="","",JsProcess("JsonItem",JsProcess("JsonItem",Q326,"NotExecuted"),"count"))</f>
        <v/>
      </c>
    </row>
    <row r="327" spans="4:19" x14ac:dyDescent="0.25">
      <c r="D327" t="str">
        <f>IF(C327="","",VLOOKUP(A327,Projects!A:B,2,FALSE))</f>
        <v/>
      </c>
      <c r="E327" s="1" t="str">
        <f t="shared" si="50"/>
        <v/>
      </c>
      <c r="F327" t="str">
        <f t="shared" si="51"/>
        <v/>
      </c>
      <c r="G327" t="str">
        <f>IF(C327="","",ProcessUrl(E327,F327))</f>
        <v/>
      </c>
      <c r="H327" t="str">
        <f t="shared" si="52"/>
        <v/>
      </c>
      <c r="I327" t="str">
        <f t="shared" si="53"/>
        <v/>
      </c>
      <c r="J327" t="str">
        <f>IF(C327="","",ProcessUrl(H327,I327))</f>
        <v/>
      </c>
      <c r="K327" s="7" t="str">
        <f t="shared" si="54"/>
        <v/>
      </c>
      <c r="L327" s="7" t="str">
        <f t="shared" si="55"/>
        <v/>
      </c>
      <c r="M327" s="7" t="str">
        <f t="shared" si="56"/>
        <v/>
      </c>
      <c r="N327" s="7" t="str">
        <f t="shared" si="57"/>
        <v/>
      </c>
      <c r="O327" s="7" t="str">
        <f t="shared" si="58"/>
        <v/>
      </c>
      <c r="P327" t="str">
        <f t="shared" si="59"/>
        <v/>
      </c>
      <c r="Q327" t="str">
        <f>IF(C327="","",ProcessUrl(P327,"GetTestResults"))</f>
        <v/>
      </c>
      <c r="R327" s="10" t="str">
        <f>IF(C327="","",JsProcess("JsonItem",JsProcess("JsonItem",Q327,"Passed"),"count"))</f>
        <v/>
      </c>
      <c r="S327" s="10" t="str">
        <f>IF(C327="","",JsProcess("JsonItem",JsProcess("JsonItem",Q327,"NotExecuted"),"count"))</f>
        <v/>
      </c>
    </row>
    <row r="328" spans="4:19" x14ac:dyDescent="0.25">
      <c r="D328" t="str">
        <f>IF(C328="","",VLOOKUP(A328,Projects!A:B,2,FALSE))</f>
        <v/>
      </c>
      <c r="E328" s="1" t="str">
        <f t="shared" si="50"/>
        <v/>
      </c>
      <c r="F328" t="str">
        <f t="shared" si="51"/>
        <v/>
      </c>
      <c r="G328" t="str">
        <f>IF(C328="","",ProcessUrl(E328,F328))</f>
        <v/>
      </c>
      <c r="H328" t="str">
        <f t="shared" si="52"/>
        <v/>
      </c>
      <c r="I328" t="str">
        <f t="shared" si="53"/>
        <v/>
      </c>
      <c r="J328" t="str">
        <f>IF(C328="","",ProcessUrl(H328,I328))</f>
        <v/>
      </c>
      <c r="K328" s="7" t="str">
        <f t="shared" si="54"/>
        <v/>
      </c>
      <c r="L328" s="7" t="str">
        <f t="shared" si="55"/>
        <v/>
      </c>
      <c r="M328" s="7" t="str">
        <f t="shared" si="56"/>
        <v/>
      </c>
      <c r="N328" s="7" t="str">
        <f t="shared" si="57"/>
        <v/>
      </c>
      <c r="O328" s="7" t="str">
        <f t="shared" si="58"/>
        <v/>
      </c>
      <c r="P328" t="str">
        <f t="shared" si="59"/>
        <v/>
      </c>
      <c r="Q328" t="str">
        <f>IF(C328="","",ProcessUrl(P328,"GetTestResults"))</f>
        <v/>
      </c>
      <c r="R328" s="10" t="str">
        <f>IF(C328="","",JsProcess("JsonItem",JsProcess("JsonItem",Q328,"Passed"),"count"))</f>
        <v/>
      </c>
      <c r="S328" s="10" t="str">
        <f>IF(C328="","",JsProcess("JsonItem",JsProcess("JsonItem",Q328,"NotExecuted"),"count"))</f>
        <v/>
      </c>
    </row>
    <row r="329" spans="4:19" x14ac:dyDescent="0.25">
      <c r="D329" t="str">
        <f>IF(C329="","",VLOOKUP(A329,Projects!A:B,2,FALSE))</f>
        <v/>
      </c>
      <c r="E329" s="1" t="str">
        <f t="shared" si="50"/>
        <v/>
      </c>
      <c r="F329" t="str">
        <f t="shared" si="51"/>
        <v/>
      </c>
      <c r="G329" t="str">
        <f>IF(C329="","",ProcessUrl(E329,F329))</f>
        <v/>
      </c>
      <c r="H329" t="str">
        <f t="shared" si="52"/>
        <v/>
      </c>
      <c r="I329" t="str">
        <f t="shared" si="53"/>
        <v/>
      </c>
      <c r="J329" t="str">
        <f>IF(C329="","",ProcessUrl(H329,I329))</f>
        <v/>
      </c>
      <c r="K329" s="7" t="str">
        <f t="shared" si="54"/>
        <v/>
      </c>
      <c r="L329" s="7" t="str">
        <f t="shared" si="55"/>
        <v/>
      </c>
      <c r="M329" s="7" t="str">
        <f t="shared" si="56"/>
        <v/>
      </c>
      <c r="N329" s="7" t="str">
        <f t="shared" si="57"/>
        <v/>
      </c>
      <c r="O329" s="7" t="str">
        <f t="shared" si="58"/>
        <v/>
      </c>
      <c r="P329" t="str">
        <f t="shared" si="59"/>
        <v/>
      </c>
      <c r="Q329" t="str">
        <f>IF(C329="","",ProcessUrl(P329,"GetTestResults"))</f>
        <v/>
      </c>
      <c r="R329" s="10" t="str">
        <f>IF(C329="","",JsProcess("JsonItem",JsProcess("JsonItem",Q329,"Passed"),"count"))</f>
        <v/>
      </c>
      <c r="S329" s="10" t="str">
        <f>IF(C329="","",JsProcess("JsonItem",JsProcess("JsonItem",Q329,"NotExecuted"),"count"))</f>
        <v/>
      </c>
    </row>
    <row r="330" spans="4:19" x14ac:dyDescent="0.25">
      <c r="D330" t="str">
        <f>IF(C330="","",VLOOKUP(A330,Projects!A:B,2,FALSE))</f>
        <v/>
      </c>
      <c r="E330" s="1" t="str">
        <f t="shared" si="50"/>
        <v/>
      </c>
      <c r="F330" t="str">
        <f t="shared" si="51"/>
        <v/>
      </c>
      <c r="G330" t="str">
        <f>IF(C330="","",ProcessUrl(E330,F330))</f>
        <v/>
      </c>
      <c r="H330" t="str">
        <f t="shared" si="52"/>
        <v/>
      </c>
      <c r="I330" t="str">
        <f t="shared" si="53"/>
        <v/>
      </c>
      <c r="J330" t="str">
        <f>IF(C330="","",ProcessUrl(H330,I330))</f>
        <v/>
      </c>
      <c r="K330" s="7" t="str">
        <f t="shared" si="54"/>
        <v/>
      </c>
      <c r="L330" s="7" t="str">
        <f t="shared" si="55"/>
        <v/>
      </c>
      <c r="M330" s="7" t="str">
        <f t="shared" si="56"/>
        <v/>
      </c>
      <c r="N330" s="7" t="str">
        <f t="shared" si="57"/>
        <v/>
      </c>
      <c r="O330" s="7" t="str">
        <f t="shared" si="58"/>
        <v/>
      </c>
      <c r="P330" t="str">
        <f t="shared" si="59"/>
        <v/>
      </c>
      <c r="Q330" t="str">
        <f>IF(C330="","",ProcessUrl(P330,"GetTestResults"))</f>
        <v/>
      </c>
      <c r="R330" s="10" t="str">
        <f>IF(C330="","",JsProcess("JsonItem",JsProcess("JsonItem",Q330,"Passed"),"count"))</f>
        <v/>
      </c>
      <c r="S330" s="10" t="str">
        <f>IF(C330="","",JsProcess("JsonItem",JsProcess("JsonItem",Q330,"NotExecuted"),"count"))</f>
        <v/>
      </c>
    </row>
    <row r="331" spans="4:19" x14ac:dyDescent="0.25">
      <c r="D331" t="str">
        <f>IF(C331="","",VLOOKUP(A331,Projects!A:B,2,FALSE))</f>
        <v/>
      </c>
      <c r="E331" s="1" t="str">
        <f t="shared" si="50"/>
        <v/>
      </c>
      <c r="F331" t="str">
        <f t="shared" si="51"/>
        <v/>
      </c>
      <c r="G331" t="str">
        <f>IF(C331="","",ProcessUrl(E331,F331))</f>
        <v/>
      </c>
      <c r="H331" t="str">
        <f t="shared" si="52"/>
        <v/>
      </c>
      <c r="I331" t="str">
        <f t="shared" si="53"/>
        <v/>
      </c>
      <c r="J331" t="str">
        <f>IF(C331="","",ProcessUrl(H331,I331))</f>
        <v/>
      </c>
      <c r="K331" s="7" t="str">
        <f t="shared" si="54"/>
        <v/>
      </c>
      <c r="L331" s="7" t="str">
        <f t="shared" si="55"/>
        <v/>
      </c>
      <c r="M331" s="7" t="str">
        <f t="shared" si="56"/>
        <v/>
      </c>
      <c r="N331" s="7" t="str">
        <f t="shared" si="57"/>
        <v/>
      </c>
      <c r="O331" s="7" t="str">
        <f t="shared" si="58"/>
        <v/>
      </c>
      <c r="P331" t="str">
        <f t="shared" si="59"/>
        <v/>
      </c>
      <c r="Q331" t="str">
        <f>IF(C331="","",ProcessUrl(P331,"GetTestResults"))</f>
        <v/>
      </c>
      <c r="R331" s="10" t="str">
        <f>IF(C331="","",JsProcess("JsonItem",JsProcess("JsonItem",Q331,"Passed"),"count"))</f>
        <v/>
      </c>
      <c r="S331" s="10" t="str">
        <f>IF(C331="","",JsProcess("JsonItem",JsProcess("JsonItem",Q331,"NotExecuted"),"count"))</f>
        <v/>
      </c>
    </row>
    <row r="332" spans="4:19" x14ac:dyDescent="0.25">
      <c r="D332" t="str">
        <f>IF(C332="","",VLOOKUP(A332,Projects!A:B,2,FALSE))</f>
        <v/>
      </c>
      <c r="E332" s="1" t="str">
        <f t="shared" si="50"/>
        <v/>
      </c>
      <c r="F332" t="str">
        <f t="shared" si="51"/>
        <v/>
      </c>
      <c r="G332" t="str">
        <f>IF(C332="","",ProcessUrl(E332,F332))</f>
        <v/>
      </c>
      <c r="H332" t="str">
        <f t="shared" si="52"/>
        <v/>
      </c>
      <c r="I332" t="str">
        <f t="shared" si="53"/>
        <v/>
      </c>
      <c r="J332" t="str">
        <f>IF(C332="","",ProcessUrl(H332,I332))</f>
        <v/>
      </c>
      <c r="K332" s="7" t="str">
        <f t="shared" si="54"/>
        <v/>
      </c>
      <c r="L332" s="7" t="str">
        <f t="shared" si="55"/>
        <v/>
      </c>
      <c r="M332" s="7" t="str">
        <f t="shared" si="56"/>
        <v/>
      </c>
      <c r="N332" s="7" t="str">
        <f t="shared" si="57"/>
        <v/>
      </c>
      <c r="O332" s="7" t="str">
        <f t="shared" si="58"/>
        <v/>
      </c>
      <c r="P332" t="str">
        <f t="shared" si="59"/>
        <v/>
      </c>
      <c r="Q332" t="str">
        <f>IF(C332="","",ProcessUrl(P332,"GetTestResults"))</f>
        <v/>
      </c>
      <c r="R332" s="10" t="str">
        <f>IF(C332="","",JsProcess("JsonItem",JsProcess("JsonItem",Q332,"Passed"),"count"))</f>
        <v/>
      </c>
      <c r="S332" s="10" t="str">
        <f>IF(C332="","",JsProcess("JsonItem",JsProcess("JsonItem",Q332,"NotExecuted"),"count"))</f>
        <v/>
      </c>
    </row>
    <row r="333" spans="4:19" x14ac:dyDescent="0.25">
      <c r="D333" t="str">
        <f>IF(C333="","",VLOOKUP(A333,Projects!A:B,2,FALSE))</f>
        <v/>
      </c>
      <c r="E333" s="1" t="str">
        <f t="shared" si="50"/>
        <v/>
      </c>
      <c r="F333" t="str">
        <f t="shared" si="51"/>
        <v/>
      </c>
      <c r="G333" t="str">
        <f>IF(C333="","",ProcessUrl(E333,F333))</f>
        <v/>
      </c>
      <c r="H333" t="str">
        <f t="shared" si="52"/>
        <v/>
      </c>
      <c r="I333" t="str">
        <f t="shared" si="53"/>
        <v/>
      </c>
      <c r="J333" t="str">
        <f>IF(C333="","",ProcessUrl(H333,I333))</f>
        <v/>
      </c>
      <c r="K333" s="7" t="str">
        <f t="shared" si="54"/>
        <v/>
      </c>
      <c r="L333" s="7" t="str">
        <f t="shared" si="55"/>
        <v/>
      </c>
      <c r="M333" s="7" t="str">
        <f t="shared" si="56"/>
        <v/>
      </c>
      <c r="N333" s="7" t="str">
        <f t="shared" si="57"/>
        <v/>
      </c>
      <c r="O333" s="7" t="str">
        <f t="shared" si="58"/>
        <v/>
      </c>
      <c r="P333" t="str">
        <f t="shared" si="59"/>
        <v/>
      </c>
      <c r="Q333" t="str">
        <f>IF(C333="","",ProcessUrl(P333,"GetTestResults"))</f>
        <v/>
      </c>
      <c r="R333" s="10" t="str">
        <f>IF(C333="","",JsProcess("JsonItem",JsProcess("JsonItem",Q333,"Passed"),"count"))</f>
        <v/>
      </c>
      <c r="S333" s="10" t="str">
        <f>IF(C333="","",JsProcess("JsonItem",JsProcess("JsonItem",Q333,"NotExecuted"),"count"))</f>
        <v/>
      </c>
    </row>
    <row r="334" spans="4:19" x14ac:dyDescent="0.25">
      <c r="D334" t="str">
        <f>IF(C334="","",VLOOKUP(A334,Projects!A:B,2,FALSE))</f>
        <v/>
      </c>
      <c r="E334" s="1" t="str">
        <f t="shared" si="50"/>
        <v/>
      </c>
      <c r="F334" t="str">
        <f t="shared" si="51"/>
        <v/>
      </c>
      <c r="G334" t="str">
        <f>IF(C334="","",ProcessUrl(E334,F334))</f>
        <v/>
      </c>
      <c r="H334" t="str">
        <f t="shared" si="52"/>
        <v/>
      </c>
      <c r="I334" t="str">
        <f t="shared" si="53"/>
        <v/>
      </c>
      <c r="J334" t="str">
        <f>IF(C334="","",ProcessUrl(H334,I334))</f>
        <v/>
      </c>
      <c r="K334" s="7" t="str">
        <f t="shared" si="54"/>
        <v/>
      </c>
      <c r="L334" s="7" t="str">
        <f t="shared" si="55"/>
        <v/>
      </c>
      <c r="M334" s="7" t="str">
        <f t="shared" si="56"/>
        <v/>
      </c>
      <c r="N334" s="7" t="str">
        <f t="shared" si="57"/>
        <v/>
      </c>
      <c r="O334" s="7" t="str">
        <f t="shared" si="58"/>
        <v/>
      </c>
      <c r="P334" t="str">
        <f t="shared" si="59"/>
        <v/>
      </c>
      <c r="Q334" t="str">
        <f>IF(C334="","",ProcessUrl(P334,"GetTestResults"))</f>
        <v/>
      </c>
      <c r="R334" s="10" t="str">
        <f>IF(C334="","",JsProcess("JsonItem",JsProcess("JsonItem",Q334,"Passed"),"count"))</f>
        <v/>
      </c>
      <c r="S334" s="10" t="str">
        <f>IF(C334="","",JsProcess("JsonItem",JsProcess("JsonItem",Q334,"NotExecuted"),"count"))</f>
        <v/>
      </c>
    </row>
    <row r="335" spans="4:19" x14ac:dyDescent="0.25">
      <c r="D335" t="str">
        <f>IF(C335="","",VLOOKUP(A335,Projects!A:B,2,FALSE))</f>
        <v/>
      </c>
      <c r="E335" s="1" t="str">
        <f t="shared" si="50"/>
        <v/>
      </c>
      <c r="F335" t="str">
        <f t="shared" si="51"/>
        <v/>
      </c>
      <c r="G335" t="str">
        <f>IF(C335="","",ProcessUrl(E335,F335))</f>
        <v/>
      </c>
      <c r="H335" t="str">
        <f t="shared" si="52"/>
        <v/>
      </c>
      <c r="I335" t="str">
        <f t="shared" si="53"/>
        <v/>
      </c>
      <c r="J335" t="str">
        <f>IF(C335="","",ProcessUrl(H335,I335))</f>
        <v/>
      </c>
      <c r="K335" s="7" t="str">
        <f t="shared" si="54"/>
        <v/>
      </c>
      <c r="L335" s="7" t="str">
        <f t="shared" si="55"/>
        <v/>
      </c>
      <c r="M335" s="7" t="str">
        <f t="shared" si="56"/>
        <v/>
      </c>
      <c r="N335" s="7" t="str">
        <f t="shared" si="57"/>
        <v/>
      </c>
      <c r="O335" s="7" t="str">
        <f t="shared" si="58"/>
        <v/>
      </c>
      <c r="P335" t="str">
        <f t="shared" si="59"/>
        <v/>
      </c>
      <c r="Q335" t="str">
        <f>IF(C335="","",ProcessUrl(P335,"GetTestResults"))</f>
        <v/>
      </c>
      <c r="R335" s="10" t="str">
        <f>IF(C335="","",JsProcess("JsonItem",JsProcess("JsonItem",Q335,"Passed"),"count"))</f>
        <v/>
      </c>
      <c r="S335" s="10" t="str">
        <f>IF(C335="","",JsProcess("JsonItem",JsProcess("JsonItem",Q335,"NotExecuted"),"count"))</f>
        <v/>
      </c>
    </row>
    <row r="336" spans="4:19" x14ac:dyDescent="0.25">
      <c r="D336" t="str">
        <f>IF(C336="","",VLOOKUP(A336,Projects!A:B,2,FALSE))</f>
        <v/>
      </c>
      <c r="E336" s="1" t="str">
        <f t="shared" si="50"/>
        <v/>
      </c>
      <c r="F336" t="str">
        <f t="shared" si="51"/>
        <v/>
      </c>
      <c r="G336" t="str">
        <f>IF(C336="","",ProcessUrl(E336,F336))</f>
        <v/>
      </c>
      <c r="H336" t="str">
        <f t="shared" si="52"/>
        <v/>
      </c>
      <c r="I336" t="str">
        <f t="shared" si="53"/>
        <v/>
      </c>
      <c r="J336" t="str">
        <f>IF(C336="","",ProcessUrl(H336,I336))</f>
        <v/>
      </c>
      <c r="K336" s="7" t="str">
        <f t="shared" si="54"/>
        <v/>
      </c>
      <c r="L336" s="7" t="str">
        <f t="shared" si="55"/>
        <v/>
      </c>
      <c r="M336" s="7" t="str">
        <f t="shared" si="56"/>
        <v/>
      </c>
      <c r="N336" s="7" t="str">
        <f t="shared" si="57"/>
        <v/>
      </c>
      <c r="O336" s="7" t="str">
        <f t="shared" si="58"/>
        <v/>
      </c>
      <c r="P336" t="str">
        <f t="shared" si="59"/>
        <v/>
      </c>
      <c r="Q336" t="str">
        <f>IF(C336="","",ProcessUrl(P336,"GetTestResults"))</f>
        <v/>
      </c>
      <c r="R336" s="10" t="str">
        <f>IF(C336="","",JsProcess("JsonItem",JsProcess("JsonItem",Q336,"Passed"),"count"))</f>
        <v/>
      </c>
      <c r="S336" s="10" t="str">
        <f>IF(C336="","",JsProcess("JsonItem",JsProcess("JsonItem",Q336,"NotExecuted"),"count"))</f>
        <v/>
      </c>
    </row>
    <row r="337" spans="4:19" x14ac:dyDescent="0.25">
      <c r="D337" t="str">
        <f>IF(C337="","",VLOOKUP(A337,Projects!A:B,2,FALSE))</f>
        <v/>
      </c>
      <c r="E337" s="1" t="str">
        <f t="shared" si="50"/>
        <v/>
      </c>
      <c r="F337" t="str">
        <f t="shared" si="51"/>
        <v/>
      </c>
      <c r="G337" t="str">
        <f>IF(C337="","",ProcessUrl(E337,F337))</f>
        <v/>
      </c>
      <c r="H337" t="str">
        <f t="shared" si="52"/>
        <v/>
      </c>
      <c r="I337" t="str">
        <f t="shared" si="53"/>
        <v/>
      </c>
      <c r="J337" t="str">
        <f>IF(C337="","",ProcessUrl(H337,I337))</f>
        <v/>
      </c>
      <c r="K337" s="7" t="str">
        <f t="shared" si="54"/>
        <v/>
      </c>
      <c r="L337" s="7" t="str">
        <f t="shared" si="55"/>
        <v/>
      </c>
      <c r="M337" s="7" t="str">
        <f t="shared" si="56"/>
        <v/>
      </c>
      <c r="N337" s="7" t="str">
        <f t="shared" si="57"/>
        <v/>
      </c>
      <c r="O337" s="7" t="str">
        <f t="shared" si="58"/>
        <v/>
      </c>
      <c r="P337" t="str">
        <f t="shared" si="59"/>
        <v/>
      </c>
      <c r="Q337" t="str">
        <f>IF(C337="","",ProcessUrl(P337,"GetTestResults"))</f>
        <v/>
      </c>
      <c r="R337" s="10" t="str">
        <f>IF(C337="","",JsProcess("JsonItem",JsProcess("JsonItem",Q337,"Passed"),"count"))</f>
        <v/>
      </c>
      <c r="S337" s="10" t="str">
        <f>IF(C337="","",JsProcess("JsonItem",JsProcess("JsonItem",Q337,"NotExecuted"),"count"))</f>
        <v/>
      </c>
    </row>
    <row r="338" spans="4:19" x14ac:dyDescent="0.25">
      <c r="D338" t="str">
        <f>IF(C338="","",VLOOKUP(A338,Projects!A:B,2,FALSE))</f>
        <v/>
      </c>
      <c r="E338" s="1" t="str">
        <f t="shared" si="50"/>
        <v/>
      </c>
      <c r="F338" t="str">
        <f t="shared" si="51"/>
        <v/>
      </c>
      <c r="G338" t="str">
        <f>IF(C338="","",ProcessUrl(E338,F338))</f>
        <v/>
      </c>
      <c r="H338" t="str">
        <f t="shared" si="52"/>
        <v/>
      </c>
      <c r="I338" t="str">
        <f t="shared" si="53"/>
        <v/>
      </c>
      <c r="J338" t="str">
        <f>IF(C338="","",ProcessUrl(H338,I338))</f>
        <v/>
      </c>
      <c r="K338" s="7" t="str">
        <f t="shared" si="54"/>
        <v/>
      </c>
      <c r="L338" s="7" t="str">
        <f t="shared" si="55"/>
        <v/>
      </c>
      <c r="M338" s="7" t="str">
        <f t="shared" si="56"/>
        <v/>
      </c>
      <c r="N338" s="7" t="str">
        <f t="shared" si="57"/>
        <v/>
      </c>
      <c r="O338" s="7" t="str">
        <f t="shared" si="58"/>
        <v/>
      </c>
      <c r="P338" t="str">
        <f t="shared" si="59"/>
        <v/>
      </c>
      <c r="Q338" t="str">
        <f>IF(C338="","",ProcessUrl(P338,"GetTestResults"))</f>
        <v/>
      </c>
      <c r="R338" s="10" t="str">
        <f>IF(C338="","",JsProcess("JsonItem",JsProcess("JsonItem",Q338,"Passed"),"count"))</f>
        <v/>
      </c>
      <c r="S338" s="10" t="str">
        <f>IF(C338="","",JsProcess("JsonItem",JsProcess("JsonItem",Q338,"NotExecuted"),"count"))</f>
        <v/>
      </c>
    </row>
    <row r="339" spans="4:19" x14ac:dyDescent="0.25">
      <c r="D339" t="str">
        <f>IF(C339="","",VLOOKUP(A339,Projects!A:B,2,FALSE))</f>
        <v/>
      </c>
      <c r="E339" s="1" t="str">
        <f t="shared" si="50"/>
        <v/>
      </c>
      <c r="F339" t="str">
        <f t="shared" si="51"/>
        <v/>
      </c>
      <c r="G339" t="str">
        <f>IF(C339="","",ProcessUrl(E339,F339))</f>
        <v/>
      </c>
      <c r="H339" t="str">
        <f t="shared" si="52"/>
        <v/>
      </c>
      <c r="I339" t="str">
        <f t="shared" si="53"/>
        <v/>
      </c>
      <c r="J339" t="str">
        <f>IF(C339="","",ProcessUrl(H339,I339))</f>
        <v/>
      </c>
      <c r="K339" s="7" t="str">
        <f t="shared" si="54"/>
        <v/>
      </c>
      <c r="L339" s="7" t="str">
        <f t="shared" si="55"/>
        <v/>
      </c>
      <c r="M339" s="7" t="str">
        <f t="shared" si="56"/>
        <v/>
      </c>
      <c r="N339" s="7" t="str">
        <f t="shared" si="57"/>
        <v/>
      </c>
      <c r="O339" s="7" t="str">
        <f t="shared" si="58"/>
        <v/>
      </c>
      <c r="P339" t="str">
        <f t="shared" si="59"/>
        <v/>
      </c>
      <c r="Q339" t="str">
        <f>IF(C339="","",ProcessUrl(P339,"GetTestResults"))</f>
        <v/>
      </c>
      <c r="R339" s="10" t="str">
        <f>IF(C339="","",JsProcess("JsonItem",JsProcess("JsonItem",Q339,"Passed"),"count"))</f>
        <v/>
      </c>
      <c r="S339" s="10" t="str">
        <f>IF(C339="","",JsProcess("JsonItem",JsProcess("JsonItem",Q339,"NotExecuted"),"count"))</f>
        <v/>
      </c>
    </row>
    <row r="340" spans="4:19" x14ac:dyDescent="0.25">
      <c r="D340" t="str">
        <f>IF(C340="","",VLOOKUP(A340,Projects!A:B,2,FALSE))</f>
        <v/>
      </c>
      <c r="E340" s="1" t="str">
        <f t="shared" si="50"/>
        <v/>
      </c>
      <c r="F340" t="str">
        <f t="shared" si="51"/>
        <v/>
      </c>
      <c r="G340" t="str">
        <f>IF(C340="","",ProcessUrl(E340,F340))</f>
        <v/>
      </c>
      <c r="H340" t="str">
        <f t="shared" si="52"/>
        <v/>
      </c>
      <c r="I340" t="str">
        <f t="shared" si="53"/>
        <v/>
      </c>
      <c r="J340" t="str">
        <f>IF(C340="","",ProcessUrl(H340,I340))</f>
        <v/>
      </c>
      <c r="K340" s="7" t="str">
        <f t="shared" si="54"/>
        <v/>
      </c>
      <c r="L340" s="7" t="str">
        <f t="shared" si="55"/>
        <v/>
      </c>
      <c r="M340" s="7" t="str">
        <f t="shared" si="56"/>
        <v/>
      </c>
      <c r="N340" s="7" t="str">
        <f t="shared" si="57"/>
        <v/>
      </c>
      <c r="O340" s="7" t="str">
        <f t="shared" si="58"/>
        <v/>
      </c>
      <c r="P340" t="str">
        <f t="shared" si="59"/>
        <v/>
      </c>
      <c r="Q340" t="str">
        <f>IF(C340="","",ProcessUrl(P340,"GetTestResults"))</f>
        <v/>
      </c>
      <c r="R340" s="10" t="str">
        <f>IF(C340="","",JsProcess("JsonItem",JsProcess("JsonItem",Q340,"Passed"),"count"))</f>
        <v/>
      </c>
      <c r="S340" s="10" t="str">
        <f>IF(C340="","",JsProcess("JsonItem",JsProcess("JsonItem",Q340,"NotExecuted"),"count"))</f>
        <v/>
      </c>
    </row>
    <row r="341" spans="4:19" x14ac:dyDescent="0.25">
      <c r="D341" t="str">
        <f>IF(C341="","",VLOOKUP(A341,Projects!A:B,2,FALSE))</f>
        <v/>
      </c>
      <c r="E341" s="1" t="str">
        <f t="shared" si="50"/>
        <v/>
      </c>
      <c r="F341" t="str">
        <f t="shared" si="51"/>
        <v/>
      </c>
      <c r="G341" t="str">
        <f>IF(C341="","",ProcessUrl(E341,F341))</f>
        <v/>
      </c>
      <c r="H341" t="str">
        <f t="shared" si="52"/>
        <v/>
      </c>
      <c r="I341" t="str">
        <f t="shared" si="53"/>
        <v/>
      </c>
      <c r="J341" t="str">
        <f>IF(C341="","",ProcessUrl(H341,I341))</f>
        <v/>
      </c>
      <c r="K341" s="7" t="str">
        <f t="shared" si="54"/>
        <v/>
      </c>
      <c r="L341" s="7" t="str">
        <f t="shared" si="55"/>
        <v/>
      </c>
      <c r="M341" s="7" t="str">
        <f t="shared" si="56"/>
        <v/>
      </c>
      <c r="N341" s="7" t="str">
        <f t="shared" si="57"/>
        <v/>
      </c>
      <c r="O341" s="7" t="str">
        <f t="shared" si="58"/>
        <v/>
      </c>
      <c r="P341" t="str">
        <f t="shared" si="59"/>
        <v/>
      </c>
      <c r="Q341" t="str">
        <f>IF(C341="","",ProcessUrl(P341,"GetTestResults"))</f>
        <v/>
      </c>
      <c r="R341" s="10" t="str">
        <f>IF(C341="","",JsProcess("JsonItem",JsProcess("JsonItem",Q341,"Passed"),"count"))</f>
        <v/>
      </c>
      <c r="S341" s="10" t="str">
        <f>IF(C341="","",JsProcess("JsonItem",JsProcess("JsonItem",Q341,"NotExecuted"),"count"))</f>
        <v/>
      </c>
    </row>
    <row r="342" spans="4:19" x14ac:dyDescent="0.25">
      <c r="D342" t="str">
        <f>IF(C342="","",VLOOKUP(A342,Projects!A:B,2,FALSE))</f>
        <v/>
      </c>
      <c r="E342" s="1" t="str">
        <f t="shared" si="50"/>
        <v/>
      </c>
      <c r="F342" t="str">
        <f t="shared" si="51"/>
        <v/>
      </c>
      <c r="G342" t="str">
        <f>IF(C342="","",ProcessUrl(E342,F342))</f>
        <v/>
      </c>
      <c r="H342" t="str">
        <f t="shared" si="52"/>
        <v/>
      </c>
      <c r="I342" t="str">
        <f t="shared" si="53"/>
        <v/>
      </c>
      <c r="J342" t="str">
        <f>IF(C342="","",ProcessUrl(H342,I342))</f>
        <v/>
      </c>
      <c r="K342" s="7" t="str">
        <f t="shared" si="54"/>
        <v/>
      </c>
      <c r="L342" s="7" t="str">
        <f t="shared" si="55"/>
        <v/>
      </c>
      <c r="M342" s="7" t="str">
        <f t="shared" si="56"/>
        <v/>
      </c>
      <c r="N342" s="7" t="str">
        <f t="shared" si="57"/>
        <v/>
      </c>
      <c r="O342" s="7" t="str">
        <f t="shared" si="58"/>
        <v/>
      </c>
      <c r="P342" t="str">
        <f t="shared" si="59"/>
        <v/>
      </c>
      <c r="Q342" t="str">
        <f>IF(C342="","",ProcessUrl(P342,"GetTestResults"))</f>
        <v/>
      </c>
      <c r="R342" s="10" t="str">
        <f>IF(C342="","",JsProcess("JsonItem",JsProcess("JsonItem",Q342,"Passed"),"count"))</f>
        <v/>
      </c>
      <c r="S342" s="10" t="str">
        <f>IF(C342="","",JsProcess("JsonItem",JsProcess("JsonItem",Q342,"NotExecuted"),"count"))</f>
        <v/>
      </c>
    </row>
    <row r="343" spans="4:19" x14ac:dyDescent="0.25">
      <c r="D343" t="str">
        <f>IF(C343="","",VLOOKUP(A343,Projects!A:B,2,FALSE))</f>
        <v/>
      </c>
      <c r="E343" s="1" t="str">
        <f t="shared" si="50"/>
        <v/>
      </c>
      <c r="F343" t="str">
        <f t="shared" si="51"/>
        <v/>
      </c>
      <c r="G343" t="str">
        <f>IF(C343="","",ProcessUrl(E343,F343))</f>
        <v/>
      </c>
      <c r="H343" t="str">
        <f t="shared" si="52"/>
        <v/>
      </c>
      <c r="I343" t="str">
        <f t="shared" si="53"/>
        <v/>
      </c>
      <c r="J343" t="str">
        <f>IF(C343="","",ProcessUrl(H343,I343))</f>
        <v/>
      </c>
      <c r="K343" s="7" t="str">
        <f t="shared" si="54"/>
        <v/>
      </c>
      <c r="L343" s="7" t="str">
        <f t="shared" si="55"/>
        <v/>
      </c>
      <c r="M343" s="7" t="str">
        <f t="shared" si="56"/>
        <v/>
      </c>
      <c r="N343" s="7" t="str">
        <f t="shared" si="57"/>
        <v/>
      </c>
      <c r="O343" s="7" t="str">
        <f t="shared" si="58"/>
        <v/>
      </c>
      <c r="P343" t="str">
        <f t="shared" si="59"/>
        <v/>
      </c>
      <c r="Q343" t="str">
        <f>IF(C343="","",ProcessUrl(P343,"GetTestResults"))</f>
        <v/>
      </c>
      <c r="R343" s="10" t="str">
        <f>IF(C343="","",JsProcess("JsonItem",JsProcess("JsonItem",Q343,"Passed"),"count"))</f>
        <v/>
      </c>
      <c r="S343" s="10" t="str">
        <f>IF(C343="","",JsProcess("JsonItem",JsProcess("JsonItem",Q343,"NotExecuted"),"count"))</f>
        <v/>
      </c>
    </row>
    <row r="344" spans="4:19" x14ac:dyDescent="0.25">
      <c r="D344" t="str">
        <f>IF(C344="","",VLOOKUP(A344,Projects!A:B,2,FALSE))</f>
        <v/>
      </c>
      <c r="E344" s="1" t="str">
        <f t="shared" si="50"/>
        <v/>
      </c>
      <c r="F344" t="str">
        <f t="shared" si="51"/>
        <v/>
      </c>
      <c r="G344" t="str">
        <f>IF(C344="","",ProcessUrl(E344,F344))</f>
        <v/>
      </c>
      <c r="H344" t="str">
        <f t="shared" si="52"/>
        <v/>
      </c>
      <c r="I344" t="str">
        <f t="shared" si="53"/>
        <v/>
      </c>
      <c r="J344" t="str">
        <f>IF(C344="","",ProcessUrl(H344,I344))</f>
        <v/>
      </c>
      <c r="K344" s="7" t="str">
        <f t="shared" si="54"/>
        <v/>
      </c>
      <c r="L344" s="7" t="str">
        <f t="shared" si="55"/>
        <v/>
      </c>
      <c r="M344" s="7" t="str">
        <f t="shared" si="56"/>
        <v/>
      </c>
      <c r="N344" s="7" t="str">
        <f t="shared" si="57"/>
        <v/>
      </c>
      <c r="O344" s="7" t="str">
        <f t="shared" si="58"/>
        <v/>
      </c>
      <c r="P344" t="str">
        <f t="shared" si="59"/>
        <v/>
      </c>
      <c r="Q344" t="str">
        <f>IF(C344="","",ProcessUrl(P344,"GetTestResults"))</f>
        <v/>
      </c>
      <c r="R344" s="10" t="str">
        <f>IF(C344="","",JsProcess("JsonItem",JsProcess("JsonItem",Q344,"Passed"),"count"))</f>
        <v/>
      </c>
      <c r="S344" s="10" t="str">
        <f>IF(C344="","",JsProcess("JsonItem",JsProcess("JsonItem",Q344,"NotExecuted"),"count"))</f>
        <v/>
      </c>
    </row>
    <row r="345" spans="4:19" x14ac:dyDescent="0.25">
      <c r="D345" t="str">
        <f>IF(C345="","",VLOOKUP(A345,Projects!A:B,2,FALSE))</f>
        <v/>
      </c>
      <c r="E345" s="1" t="str">
        <f t="shared" si="50"/>
        <v/>
      </c>
      <c r="F345" t="str">
        <f t="shared" si="51"/>
        <v/>
      </c>
      <c r="G345" t="str">
        <f>IF(C345="","",ProcessUrl(E345,F345))</f>
        <v/>
      </c>
      <c r="H345" t="str">
        <f t="shared" si="52"/>
        <v/>
      </c>
      <c r="I345" t="str">
        <f t="shared" si="53"/>
        <v/>
      </c>
      <c r="J345" t="str">
        <f>IF(C345="","",ProcessUrl(H345,I345))</f>
        <v/>
      </c>
      <c r="K345" s="7" t="str">
        <f t="shared" si="54"/>
        <v/>
      </c>
      <c r="L345" s="7" t="str">
        <f t="shared" si="55"/>
        <v/>
      </c>
      <c r="M345" s="7" t="str">
        <f t="shared" si="56"/>
        <v/>
      </c>
      <c r="N345" s="7" t="str">
        <f t="shared" si="57"/>
        <v/>
      </c>
      <c r="O345" s="7" t="str">
        <f t="shared" si="58"/>
        <v/>
      </c>
      <c r="P345" t="str">
        <f t="shared" si="59"/>
        <v/>
      </c>
      <c r="Q345" t="str">
        <f>IF(C345="","",ProcessUrl(P345,"GetTestResults"))</f>
        <v/>
      </c>
      <c r="R345" s="10" t="str">
        <f>IF(C345="","",JsProcess("JsonItem",JsProcess("JsonItem",Q345,"Passed"),"count"))</f>
        <v/>
      </c>
      <c r="S345" s="10" t="str">
        <f>IF(C345="","",JsProcess("JsonItem",JsProcess("JsonItem",Q345,"NotExecuted"),"count"))</f>
        <v/>
      </c>
    </row>
    <row r="346" spans="4:19" x14ac:dyDescent="0.25">
      <c r="D346" t="str">
        <f>IF(C346="","",VLOOKUP(A346,Projects!A:B,2,FALSE))</f>
        <v/>
      </c>
      <c r="E346" s="1" t="str">
        <f t="shared" si="50"/>
        <v/>
      </c>
      <c r="F346" t="str">
        <f t="shared" si="51"/>
        <v/>
      </c>
      <c r="G346" t="str">
        <f>IF(C346="","",ProcessUrl(E346,F346))</f>
        <v/>
      </c>
      <c r="H346" t="str">
        <f t="shared" si="52"/>
        <v/>
      </c>
      <c r="I346" t="str">
        <f t="shared" si="53"/>
        <v/>
      </c>
      <c r="J346" t="str">
        <f>IF(C346="","",ProcessUrl(H346,I346))</f>
        <v/>
      </c>
      <c r="K346" s="7" t="str">
        <f t="shared" si="54"/>
        <v/>
      </c>
      <c r="L346" s="7" t="str">
        <f t="shared" si="55"/>
        <v/>
      </c>
      <c r="M346" s="7" t="str">
        <f t="shared" si="56"/>
        <v/>
      </c>
      <c r="N346" s="7" t="str">
        <f t="shared" si="57"/>
        <v/>
      </c>
      <c r="O346" s="7" t="str">
        <f t="shared" si="58"/>
        <v/>
      </c>
      <c r="P346" t="str">
        <f t="shared" si="59"/>
        <v/>
      </c>
      <c r="Q346" t="str">
        <f>IF(C346="","",ProcessUrl(P346,"GetTestResults"))</f>
        <v/>
      </c>
      <c r="R346" s="10" t="str">
        <f>IF(C346="","",JsProcess("JsonItem",JsProcess("JsonItem",Q346,"Passed"),"count"))</f>
        <v/>
      </c>
      <c r="S346" s="10" t="str">
        <f>IF(C346="","",JsProcess("JsonItem",JsProcess("JsonItem",Q346,"NotExecuted"),"count"))</f>
        <v/>
      </c>
    </row>
    <row r="347" spans="4:19" x14ac:dyDescent="0.25">
      <c r="D347" t="str">
        <f>IF(C347="","",VLOOKUP(A347,Projects!A:B,2,FALSE))</f>
        <v/>
      </c>
      <c r="E347" s="1" t="str">
        <f t="shared" si="50"/>
        <v/>
      </c>
      <c r="F347" t="str">
        <f t="shared" si="51"/>
        <v/>
      </c>
      <c r="G347" t="str">
        <f>IF(C347="","",ProcessUrl(E347,F347))</f>
        <v/>
      </c>
      <c r="H347" t="str">
        <f t="shared" si="52"/>
        <v/>
      </c>
      <c r="I347" t="str">
        <f t="shared" si="53"/>
        <v/>
      </c>
      <c r="J347" t="str">
        <f>IF(C347="","",ProcessUrl(H347,I347))</f>
        <v/>
      </c>
      <c r="K347" s="7" t="str">
        <f t="shared" si="54"/>
        <v/>
      </c>
      <c r="L347" s="7" t="str">
        <f t="shared" si="55"/>
        <v/>
      </c>
      <c r="M347" s="7" t="str">
        <f t="shared" si="56"/>
        <v/>
      </c>
      <c r="N347" s="7" t="str">
        <f t="shared" si="57"/>
        <v/>
      </c>
      <c r="O347" s="7" t="str">
        <f t="shared" si="58"/>
        <v/>
      </c>
      <c r="P347" t="str">
        <f t="shared" si="59"/>
        <v/>
      </c>
      <c r="Q347" t="str">
        <f>IF(C347="","",ProcessUrl(P347,"GetTestResults"))</f>
        <v/>
      </c>
      <c r="R347" s="10" t="str">
        <f>IF(C347="","",JsProcess("JsonItem",JsProcess("JsonItem",Q347,"Passed"),"count"))</f>
        <v/>
      </c>
      <c r="S347" s="10" t="str">
        <f>IF(C347="","",JsProcess("JsonItem",JsProcess("JsonItem",Q347,"NotExecuted"),"count"))</f>
        <v/>
      </c>
    </row>
    <row r="348" spans="4:19" x14ac:dyDescent="0.25">
      <c r="D348" t="str">
        <f>IF(C348="","",VLOOKUP(A348,Projects!A:B,2,FALSE))</f>
        <v/>
      </c>
      <c r="E348" s="1" t="str">
        <f t="shared" si="50"/>
        <v/>
      </c>
      <c r="F348" t="str">
        <f t="shared" si="51"/>
        <v/>
      </c>
      <c r="G348" t="str">
        <f>IF(C348="","",ProcessUrl(E348,F348))</f>
        <v/>
      </c>
      <c r="H348" t="str">
        <f t="shared" si="52"/>
        <v/>
      </c>
      <c r="I348" t="str">
        <f t="shared" si="53"/>
        <v/>
      </c>
      <c r="J348" t="str">
        <f>IF(C348="","",ProcessUrl(H348,I348))</f>
        <v/>
      </c>
      <c r="K348" s="7" t="str">
        <f t="shared" si="54"/>
        <v/>
      </c>
      <c r="L348" s="7" t="str">
        <f t="shared" si="55"/>
        <v/>
      </c>
      <c r="M348" s="7" t="str">
        <f t="shared" si="56"/>
        <v/>
      </c>
      <c r="N348" s="7" t="str">
        <f t="shared" si="57"/>
        <v/>
      </c>
      <c r="O348" s="7" t="str">
        <f t="shared" si="58"/>
        <v/>
      </c>
      <c r="P348" t="str">
        <f t="shared" si="59"/>
        <v/>
      </c>
      <c r="Q348" t="str">
        <f>IF(C348="","",ProcessUrl(P348,"GetTestResults"))</f>
        <v/>
      </c>
      <c r="R348" s="10" t="str">
        <f>IF(C348="","",JsProcess("JsonItem",JsProcess("JsonItem",Q348,"Passed"),"count"))</f>
        <v/>
      </c>
      <c r="S348" s="10" t="str">
        <f>IF(C348="","",JsProcess("JsonItem",JsProcess("JsonItem",Q348,"NotExecuted"),"count"))</f>
        <v/>
      </c>
    </row>
    <row r="349" spans="4:19" x14ac:dyDescent="0.25">
      <c r="D349" t="str">
        <f>IF(C349="","",VLOOKUP(A349,Projects!A:B,2,FALSE))</f>
        <v/>
      </c>
      <c r="E349" s="1" t="str">
        <f t="shared" si="50"/>
        <v/>
      </c>
      <c r="F349" t="str">
        <f t="shared" si="51"/>
        <v/>
      </c>
      <c r="G349" t="str">
        <f>IF(C349="","",ProcessUrl(E349,F349))</f>
        <v/>
      </c>
      <c r="H349" t="str">
        <f t="shared" si="52"/>
        <v/>
      </c>
      <c r="I349" t="str">
        <f t="shared" si="53"/>
        <v/>
      </c>
      <c r="J349" t="str">
        <f>IF(C349="","",ProcessUrl(H349,I349))</f>
        <v/>
      </c>
      <c r="K349" s="7" t="str">
        <f t="shared" si="54"/>
        <v/>
      </c>
      <c r="L349" s="7" t="str">
        <f t="shared" si="55"/>
        <v/>
      </c>
      <c r="M349" s="7" t="str">
        <f t="shared" si="56"/>
        <v/>
      </c>
      <c r="N349" s="7" t="str">
        <f t="shared" si="57"/>
        <v/>
      </c>
      <c r="O349" s="7" t="str">
        <f t="shared" si="58"/>
        <v/>
      </c>
      <c r="P349" t="str">
        <f t="shared" si="59"/>
        <v/>
      </c>
      <c r="Q349" t="str">
        <f>IF(C349="","",ProcessUrl(P349,"GetTestResults"))</f>
        <v/>
      </c>
      <c r="R349" s="10" t="str">
        <f>IF(C349="","",JsProcess("JsonItem",JsProcess("JsonItem",Q349,"Passed"),"count"))</f>
        <v/>
      </c>
      <c r="S349" s="10" t="str">
        <f>IF(C349="","",JsProcess("JsonItem",JsProcess("JsonItem",Q349,"NotExecuted"),"count"))</f>
        <v/>
      </c>
    </row>
    <row r="350" spans="4:19" x14ac:dyDescent="0.25">
      <c r="D350" t="str">
        <f>IF(C350="","",VLOOKUP(A350,Projects!A:B,2,FALSE))</f>
        <v/>
      </c>
      <c r="E350" s="1" t="str">
        <f t="shared" si="50"/>
        <v/>
      </c>
      <c r="F350" t="str">
        <f t="shared" si="51"/>
        <v/>
      </c>
      <c r="G350" t="str">
        <f>IF(C350="","",ProcessUrl(E350,F350))</f>
        <v/>
      </c>
      <c r="H350" t="str">
        <f t="shared" si="52"/>
        <v/>
      </c>
      <c r="I350" t="str">
        <f t="shared" si="53"/>
        <v/>
      </c>
      <c r="J350" t="str">
        <f>IF(C350="","",ProcessUrl(H350,I350))</f>
        <v/>
      </c>
      <c r="K350" s="7" t="str">
        <f t="shared" si="54"/>
        <v/>
      </c>
      <c r="L350" s="7" t="str">
        <f t="shared" si="55"/>
        <v/>
      </c>
      <c r="M350" s="7" t="str">
        <f t="shared" si="56"/>
        <v/>
      </c>
      <c r="N350" s="7" t="str">
        <f t="shared" si="57"/>
        <v/>
      </c>
      <c r="O350" s="7" t="str">
        <f t="shared" si="58"/>
        <v/>
      </c>
      <c r="P350" t="str">
        <f t="shared" si="59"/>
        <v/>
      </c>
      <c r="Q350" t="str">
        <f>IF(C350="","",ProcessUrl(P350,"GetTestResults"))</f>
        <v/>
      </c>
      <c r="R350" s="10" t="str">
        <f>IF(C350="","",JsProcess("JsonItem",JsProcess("JsonItem",Q350,"Passed"),"count"))</f>
        <v/>
      </c>
      <c r="S350" s="10" t="str">
        <f>IF(C350="","",JsProcess("JsonItem",JsProcess("JsonItem",Q350,"NotExecuted"),"count"))</f>
        <v/>
      </c>
    </row>
    <row r="351" spans="4:19" x14ac:dyDescent="0.25">
      <c r="D351" t="str">
        <f>IF(C351="","",VLOOKUP(A351,Projects!A:B,2,FALSE))</f>
        <v/>
      </c>
      <c r="E351" s="1" t="str">
        <f t="shared" si="50"/>
        <v/>
      </c>
      <c r="F351" t="str">
        <f t="shared" si="51"/>
        <v/>
      </c>
      <c r="G351" t="str">
        <f>IF(C351="","",ProcessUrl(E351,F351))</f>
        <v/>
      </c>
      <c r="H351" t="str">
        <f t="shared" si="52"/>
        <v/>
      </c>
      <c r="I351" t="str">
        <f t="shared" si="53"/>
        <v/>
      </c>
      <c r="J351" t="str">
        <f>IF(C351="","",ProcessUrl(H351,I351))</f>
        <v/>
      </c>
      <c r="K351" s="7" t="str">
        <f t="shared" si="54"/>
        <v/>
      </c>
      <c r="L351" s="7" t="str">
        <f t="shared" si="55"/>
        <v/>
      </c>
      <c r="M351" s="7" t="str">
        <f t="shared" si="56"/>
        <v/>
      </c>
      <c r="N351" s="7" t="str">
        <f t="shared" si="57"/>
        <v/>
      </c>
      <c r="O351" s="7" t="str">
        <f t="shared" si="58"/>
        <v/>
      </c>
      <c r="P351" t="str">
        <f t="shared" si="59"/>
        <v/>
      </c>
      <c r="Q351" t="str">
        <f>IF(C351="","",ProcessUrl(P351,"GetTestResults"))</f>
        <v/>
      </c>
      <c r="R351" s="10" t="str">
        <f>IF(C351="","",JsProcess("JsonItem",JsProcess("JsonItem",Q351,"Passed"),"count"))</f>
        <v/>
      </c>
      <c r="S351" s="10" t="str">
        <f>IF(C351="","",JsProcess("JsonItem",JsProcess("JsonItem",Q351,"NotExecuted"),"count"))</f>
        <v/>
      </c>
    </row>
    <row r="352" spans="4:19" x14ac:dyDescent="0.25">
      <c r="D352" t="str">
        <f>IF(C352="","",VLOOKUP(A352,Projects!A:B,2,FALSE))</f>
        <v/>
      </c>
      <c r="E352" s="1" t="str">
        <f t="shared" si="50"/>
        <v/>
      </c>
      <c r="F352" t="str">
        <f t="shared" si="51"/>
        <v/>
      </c>
      <c r="G352" t="str">
        <f>IF(C352="","",ProcessUrl(E352,F352))</f>
        <v/>
      </c>
      <c r="H352" t="str">
        <f t="shared" si="52"/>
        <v/>
      </c>
      <c r="I352" t="str">
        <f t="shared" si="53"/>
        <v/>
      </c>
      <c r="J352" t="str">
        <f>IF(C352="","",ProcessUrl(H352,I352))</f>
        <v/>
      </c>
      <c r="K352" s="7" t="str">
        <f t="shared" si="54"/>
        <v/>
      </c>
      <c r="L352" s="7" t="str">
        <f t="shared" si="55"/>
        <v/>
      </c>
      <c r="M352" s="7" t="str">
        <f t="shared" si="56"/>
        <v/>
      </c>
      <c r="N352" s="7" t="str">
        <f t="shared" si="57"/>
        <v/>
      </c>
      <c r="O352" s="7" t="str">
        <f t="shared" si="58"/>
        <v/>
      </c>
      <c r="P352" t="str">
        <f t="shared" si="59"/>
        <v/>
      </c>
      <c r="Q352" t="str">
        <f>IF(C352="","",ProcessUrl(P352,"GetTestResults"))</f>
        <v/>
      </c>
      <c r="R352" s="10" t="str">
        <f>IF(C352="","",JsProcess("JsonItem",JsProcess("JsonItem",Q352,"Passed"),"count"))</f>
        <v/>
      </c>
      <c r="S352" s="10" t="str">
        <f>IF(C352="","",JsProcess("JsonItem",JsProcess("JsonItem",Q352,"NotExecuted"),"count"))</f>
        <v/>
      </c>
    </row>
    <row r="353" spans="4:19" x14ac:dyDescent="0.25">
      <c r="D353" t="str">
        <f>IF(C353="","",VLOOKUP(A353,Projects!A:B,2,FALSE))</f>
        <v/>
      </c>
      <c r="E353" s="1" t="str">
        <f t="shared" si="50"/>
        <v/>
      </c>
      <c r="F353" t="str">
        <f t="shared" si="51"/>
        <v/>
      </c>
      <c r="G353" t="str">
        <f>IF(C353="","",ProcessUrl(E353,F353))</f>
        <v/>
      </c>
      <c r="H353" t="str">
        <f t="shared" si="52"/>
        <v/>
      </c>
      <c r="I353" t="str">
        <f t="shared" si="53"/>
        <v/>
      </c>
      <c r="J353" t="str">
        <f>IF(C353="","",ProcessUrl(H353,I353))</f>
        <v/>
      </c>
      <c r="K353" s="7" t="str">
        <f t="shared" si="54"/>
        <v/>
      </c>
      <c r="L353" s="7" t="str">
        <f t="shared" si="55"/>
        <v/>
      </c>
      <c r="M353" s="7" t="str">
        <f t="shared" si="56"/>
        <v/>
      </c>
      <c r="N353" s="7" t="str">
        <f t="shared" si="57"/>
        <v/>
      </c>
      <c r="O353" s="7" t="str">
        <f t="shared" si="58"/>
        <v/>
      </c>
      <c r="P353" t="str">
        <f t="shared" si="59"/>
        <v/>
      </c>
      <c r="Q353" t="str">
        <f>IF(C353="","",ProcessUrl(P353,"GetTestResults"))</f>
        <v/>
      </c>
      <c r="R353" s="10" t="str">
        <f>IF(C353="","",JsProcess("JsonItem",JsProcess("JsonItem",Q353,"Passed"),"count"))</f>
        <v/>
      </c>
      <c r="S353" s="10" t="str">
        <f>IF(C353="","",JsProcess("JsonItem",JsProcess("JsonItem",Q353,"NotExecuted"),"count"))</f>
        <v/>
      </c>
    </row>
    <row r="354" spans="4:19" x14ac:dyDescent="0.25">
      <c r="D354" t="str">
        <f>IF(C354="","",VLOOKUP(A354,Projects!A:B,2,FALSE))</f>
        <v/>
      </c>
      <c r="E354" s="1" t="str">
        <f t="shared" si="50"/>
        <v/>
      </c>
      <c r="F354" t="str">
        <f t="shared" si="51"/>
        <v/>
      </c>
      <c r="G354" t="str">
        <f>IF(C354="","",ProcessUrl(E354,F354))</f>
        <v/>
      </c>
      <c r="H354" t="str">
        <f t="shared" si="52"/>
        <v/>
      </c>
      <c r="I354" t="str">
        <f t="shared" si="53"/>
        <v/>
      </c>
      <c r="J354" t="str">
        <f>IF(C354="","",ProcessUrl(H354,I354))</f>
        <v/>
      </c>
      <c r="K354" s="7" t="str">
        <f t="shared" si="54"/>
        <v/>
      </c>
      <c r="L354" s="7" t="str">
        <f t="shared" si="55"/>
        <v/>
      </c>
      <c r="M354" s="7" t="str">
        <f t="shared" si="56"/>
        <v/>
      </c>
      <c r="N354" s="7" t="str">
        <f t="shared" si="57"/>
        <v/>
      </c>
      <c r="O354" s="7" t="str">
        <f t="shared" si="58"/>
        <v/>
      </c>
      <c r="P354" t="str">
        <f t="shared" si="59"/>
        <v/>
      </c>
      <c r="Q354" t="str">
        <f>IF(C354="","",ProcessUrl(P354,"GetTestResults"))</f>
        <v/>
      </c>
      <c r="R354" s="10" t="str">
        <f>IF(C354="","",JsProcess("JsonItem",JsProcess("JsonItem",Q354,"Passed"),"count"))</f>
        <v/>
      </c>
      <c r="S354" s="10" t="str">
        <f>IF(C354="","",JsProcess("JsonItem",JsProcess("JsonItem",Q354,"NotExecuted"),"count"))</f>
        <v/>
      </c>
    </row>
    <row r="355" spans="4:19" x14ac:dyDescent="0.25">
      <c r="D355" t="str">
        <f>IF(C355="","",VLOOKUP(A355,Projects!A:B,2,FALSE))</f>
        <v/>
      </c>
      <c r="E355" s="1" t="str">
        <f t="shared" si="50"/>
        <v/>
      </c>
      <c r="F355" t="str">
        <f t="shared" si="51"/>
        <v/>
      </c>
      <c r="G355" t="str">
        <f>IF(C355="","",ProcessUrl(E355,F355))</f>
        <v/>
      </c>
      <c r="H355" t="str">
        <f t="shared" si="52"/>
        <v/>
      </c>
      <c r="I355" t="str">
        <f t="shared" si="53"/>
        <v/>
      </c>
      <c r="J355" t="str">
        <f>IF(C355="","",ProcessUrl(H355,I355))</f>
        <v/>
      </c>
      <c r="K355" s="7" t="str">
        <f t="shared" si="54"/>
        <v/>
      </c>
      <c r="L355" s="7" t="str">
        <f t="shared" si="55"/>
        <v/>
      </c>
      <c r="M355" s="7" t="str">
        <f t="shared" si="56"/>
        <v/>
      </c>
      <c r="N355" s="7" t="str">
        <f t="shared" si="57"/>
        <v/>
      </c>
      <c r="O355" s="7" t="str">
        <f t="shared" si="58"/>
        <v/>
      </c>
      <c r="P355" t="str">
        <f t="shared" si="59"/>
        <v/>
      </c>
      <c r="Q355" t="str">
        <f>IF(C355="","",ProcessUrl(P355,"GetTestResults"))</f>
        <v/>
      </c>
      <c r="R355" s="10" t="str">
        <f>IF(C355="","",JsProcess("JsonItem",JsProcess("JsonItem",Q355,"Passed"),"count"))</f>
        <v/>
      </c>
      <c r="S355" s="10" t="str">
        <f>IF(C355="","",JsProcess("JsonItem",JsProcess("JsonItem",Q355,"NotExecuted"),"count"))</f>
        <v/>
      </c>
    </row>
    <row r="356" spans="4:19" x14ac:dyDescent="0.25">
      <c r="D356" t="str">
        <f>IF(C356="","",VLOOKUP(A356,Projects!A:B,2,FALSE))</f>
        <v/>
      </c>
      <c r="E356" s="1" t="str">
        <f t="shared" si="50"/>
        <v/>
      </c>
      <c r="F356" t="str">
        <f t="shared" si="51"/>
        <v/>
      </c>
      <c r="G356" t="str">
        <f>IF(C356="","",ProcessUrl(E356,F356))</f>
        <v/>
      </c>
      <c r="H356" t="str">
        <f t="shared" si="52"/>
        <v/>
      </c>
      <c r="I356" t="str">
        <f t="shared" si="53"/>
        <v/>
      </c>
      <c r="J356" t="str">
        <f>IF(C356="","",ProcessUrl(H356,I356))</f>
        <v/>
      </c>
      <c r="K356" s="7" t="str">
        <f t="shared" si="54"/>
        <v/>
      </c>
      <c r="L356" s="7" t="str">
        <f t="shared" si="55"/>
        <v/>
      </c>
      <c r="M356" s="7" t="str">
        <f t="shared" si="56"/>
        <v/>
      </c>
      <c r="N356" s="7" t="str">
        <f t="shared" si="57"/>
        <v/>
      </c>
      <c r="O356" s="7" t="str">
        <f t="shared" si="58"/>
        <v/>
      </c>
      <c r="P356" t="str">
        <f t="shared" si="59"/>
        <v/>
      </c>
      <c r="Q356" t="str">
        <f>IF(C356="","",ProcessUrl(P356,"GetTestResults"))</f>
        <v/>
      </c>
      <c r="R356" s="10" t="str">
        <f>IF(C356="","",JsProcess("JsonItem",JsProcess("JsonItem",Q356,"Passed"),"count"))</f>
        <v/>
      </c>
      <c r="S356" s="10" t="str">
        <f>IF(C356="","",JsProcess("JsonItem",JsProcess("JsonItem",Q356,"NotExecuted"),"count"))</f>
        <v/>
      </c>
    </row>
    <row r="357" spans="4:19" x14ac:dyDescent="0.25">
      <c r="D357" t="str">
        <f>IF(C357="","",VLOOKUP(A357,Projects!A:B,2,FALSE))</f>
        <v/>
      </c>
      <c r="E357" s="1" t="str">
        <f t="shared" si="50"/>
        <v/>
      </c>
      <c r="F357" t="str">
        <f t="shared" si="51"/>
        <v/>
      </c>
      <c r="G357" t="str">
        <f>IF(C357="","",ProcessUrl(E357,F357))</f>
        <v/>
      </c>
      <c r="H357" t="str">
        <f t="shared" si="52"/>
        <v/>
      </c>
      <c r="I357" t="str">
        <f t="shared" si="53"/>
        <v/>
      </c>
      <c r="J357" t="str">
        <f>IF(C357="","",ProcessUrl(H357,I357))</f>
        <v/>
      </c>
      <c r="K357" s="7" t="str">
        <f t="shared" si="54"/>
        <v/>
      </c>
      <c r="L357" s="7" t="str">
        <f t="shared" si="55"/>
        <v/>
      </c>
      <c r="M357" s="7" t="str">
        <f t="shared" si="56"/>
        <v/>
      </c>
      <c r="N357" s="7" t="str">
        <f t="shared" si="57"/>
        <v/>
      </c>
      <c r="O357" s="7" t="str">
        <f t="shared" si="58"/>
        <v/>
      </c>
      <c r="P357" t="str">
        <f t="shared" si="59"/>
        <v/>
      </c>
      <c r="Q357" t="str">
        <f>IF(C357="","",ProcessUrl(P357,"GetTestResults"))</f>
        <v/>
      </c>
      <c r="R357" s="10" t="str">
        <f>IF(C357="","",JsProcess("JsonItem",JsProcess("JsonItem",Q357,"Passed"),"count"))</f>
        <v/>
      </c>
      <c r="S357" s="10" t="str">
        <f>IF(C357="","",JsProcess("JsonItem",JsProcess("JsonItem",Q357,"NotExecuted"),"count"))</f>
        <v/>
      </c>
    </row>
    <row r="358" spans="4:19" x14ac:dyDescent="0.25">
      <c r="D358" t="str">
        <f>IF(C358="","",VLOOKUP(A358,Projects!A:B,2,FALSE))</f>
        <v/>
      </c>
      <c r="E358" s="1" t="str">
        <f t="shared" si="50"/>
        <v/>
      </c>
      <c r="F358" t="str">
        <f t="shared" si="51"/>
        <v/>
      </c>
      <c r="G358" t="str">
        <f>IF(C358="","",ProcessUrl(E358,F358))</f>
        <v/>
      </c>
      <c r="H358" t="str">
        <f t="shared" si="52"/>
        <v/>
      </c>
      <c r="I358" t="str">
        <f t="shared" si="53"/>
        <v/>
      </c>
      <c r="J358" t="str">
        <f>IF(C358="","",ProcessUrl(H358,I358))</f>
        <v/>
      </c>
      <c r="K358" s="7" t="str">
        <f t="shared" si="54"/>
        <v/>
      </c>
      <c r="L358" s="7" t="str">
        <f t="shared" si="55"/>
        <v/>
      </c>
      <c r="M358" s="7" t="str">
        <f t="shared" si="56"/>
        <v/>
      </c>
      <c r="N358" s="7" t="str">
        <f t="shared" si="57"/>
        <v/>
      </c>
      <c r="O358" s="7" t="str">
        <f t="shared" si="58"/>
        <v/>
      </c>
      <c r="P358" t="str">
        <f t="shared" si="59"/>
        <v/>
      </c>
      <c r="Q358" t="str">
        <f>IF(C358="","",ProcessUrl(P358,"GetTestResults"))</f>
        <v/>
      </c>
      <c r="R358" s="10" t="str">
        <f>IF(C358="","",JsProcess("JsonItem",JsProcess("JsonItem",Q358,"Passed"),"count"))</f>
        <v/>
      </c>
      <c r="S358" s="10" t="str">
        <f>IF(C358="","",JsProcess("JsonItem",JsProcess("JsonItem",Q358,"NotExecuted"),"count"))</f>
        <v/>
      </c>
    </row>
    <row r="359" spans="4:19" x14ac:dyDescent="0.25">
      <c r="D359" t="str">
        <f>IF(C359="","",VLOOKUP(A359,Projects!A:B,2,FALSE))</f>
        <v/>
      </c>
      <c r="E359" s="1" t="str">
        <f t="shared" si="50"/>
        <v/>
      </c>
      <c r="F359" t="str">
        <f t="shared" si="51"/>
        <v/>
      </c>
      <c r="G359" t="str">
        <f>IF(C359="","",ProcessUrl(E359,F359))</f>
        <v/>
      </c>
      <c r="H359" t="str">
        <f t="shared" si="52"/>
        <v/>
      </c>
      <c r="I359" t="str">
        <f t="shared" si="53"/>
        <v/>
      </c>
      <c r="J359" t="str">
        <f>IF(C359="","",ProcessUrl(H359,I359))</f>
        <v/>
      </c>
      <c r="K359" s="7" t="str">
        <f t="shared" si="54"/>
        <v/>
      </c>
      <c r="L359" s="7" t="str">
        <f t="shared" si="55"/>
        <v/>
      </c>
      <c r="M359" s="7" t="str">
        <f t="shared" si="56"/>
        <v/>
      </c>
      <c r="N359" s="7" t="str">
        <f t="shared" si="57"/>
        <v/>
      </c>
      <c r="O359" s="7" t="str">
        <f t="shared" si="58"/>
        <v/>
      </c>
      <c r="P359" t="str">
        <f t="shared" si="59"/>
        <v/>
      </c>
      <c r="Q359" t="str">
        <f>IF(C359="","",ProcessUrl(P359,"GetTestResults"))</f>
        <v/>
      </c>
      <c r="R359" s="10" t="str">
        <f>IF(C359="","",JsProcess("JsonItem",JsProcess("JsonItem",Q359,"Passed"),"count"))</f>
        <v/>
      </c>
      <c r="S359" s="10" t="str">
        <f>IF(C359="","",JsProcess("JsonItem",JsProcess("JsonItem",Q359,"NotExecuted"),"count"))</f>
        <v/>
      </c>
    </row>
    <row r="360" spans="4:19" x14ac:dyDescent="0.25">
      <c r="D360" t="str">
        <f>IF(C360="","",VLOOKUP(A360,Projects!A:B,2,FALSE))</f>
        <v/>
      </c>
      <c r="E360" s="1" t="str">
        <f t="shared" si="50"/>
        <v/>
      </c>
      <c r="F360" t="str">
        <f t="shared" si="51"/>
        <v/>
      </c>
      <c r="G360" t="str">
        <f>IF(C360="","",ProcessUrl(E360,F360))</f>
        <v/>
      </c>
      <c r="H360" t="str">
        <f t="shared" si="52"/>
        <v/>
      </c>
      <c r="I360" t="str">
        <f t="shared" si="53"/>
        <v/>
      </c>
      <c r="J360" t="str">
        <f>IF(C360="","",ProcessUrl(H360,I360))</f>
        <v/>
      </c>
      <c r="K360" s="7" t="str">
        <f t="shared" si="54"/>
        <v/>
      </c>
      <c r="L360" s="7" t="str">
        <f t="shared" si="55"/>
        <v/>
      </c>
      <c r="M360" s="7" t="str">
        <f t="shared" si="56"/>
        <v/>
      </c>
      <c r="N360" s="7" t="str">
        <f t="shared" si="57"/>
        <v/>
      </c>
      <c r="O360" s="7" t="str">
        <f t="shared" si="58"/>
        <v/>
      </c>
      <c r="P360" t="str">
        <f t="shared" si="59"/>
        <v/>
      </c>
      <c r="Q360" t="str">
        <f>IF(C360="","",ProcessUrl(P360,"GetTestResults"))</f>
        <v/>
      </c>
      <c r="R360" s="10" t="str">
        <f>IF(C360="","",JsProcess("JsonItem",JsProcess("JsonItem",Q360,"Passed"),"count"))</f>
        <v/>
      </c>
      <c r="S360" s="10" t="str">
        <f>IF(C360="","",JsProcess("JsonItem",JsProcess("JsonItem",Q360,"NotExecuted"),"count"))</f>
        <v/>
      </c>
    </row>
    <row r="361" spans="4:19" x14ac:dyDescent="0.25">
      <c r="D361" t="str">
        <f>IF(C361="","",VLOOKUP(A361,Projects!A:B,2,FALSE))</f>
        <v/>
      </c>
      <c r="E361" s="1" t="str">
        <f t="shared" si="50"/>
        <v/>
      </c>
      <c r="F361" t="str">
        <f t="shared" si="51"/>
        <v/>
      </c>
      <c r="G361" t="str">
        <f>IF(C361="","",ProcessUrl(E361,F361))</f>
        <v/>
      </c>
      <c r="H361" t="str">
        <f t="shared" si="52"/>
        <v/>
      </c>
      <c r="I361" t="str">
        <f t="shared" si="53"/>
        <v/>
      </c>
      <c r="J361" t="str">
        <f>IF(C361="","",ProcessUrl(H361,I361))</f>
        <v/>
      </c>
      <c r="K361" s="7" t="str">
        <f t="shared" si="54"/>
        <v/>
      </c>
      <c r="L361" s="7" t="str">
        <f t="shared" si="55"/>
        <v/>
      </c>
      <c r="M361" s="7" t="str">
        <f t="shared" si="56"/>
        <v/>
      </c>
      <c r="N361" s="7" t="str">
        <f t="shared" si="57"/>
        <v/>
      </c>
      <c r="O361" s="7" t="str">
        <f t="shared" si="58"/>
        <v/>
      </c>
      <c r="P361" t="str">
        <f t="shared" si="59"/>
        <v/>
      </c>
      <c r="Q361" t="str">
        <f>IF(C361="","",ProcessUrl(P361,"GetTestResults"))</f>
        <v/>
      </c>
      <c r="R361" s="10" t="str">
        <f>IF(C361="","",JsProcess("JsonItem",JsProcess("JsonItem",Q361,"Passed"),"count"))</f>
        <v/>
      </c>
      <c r="S361" s="10" t="str">
        <f>IF(C361="","",JsProcess("JsonItem",JsProcess("JsonItem",Q361,"NotExecuted"),"count"))</f>
        <v/>
      </c>
    </row>
    <row r="362" spans="4:19" x14ac:dyDescent="0.25">
      <c r="D362" t="str">
        <f>IF(C362="","",VLOOKUP(A362,Projects!A:B,2,FALSE))</f>
        <v/>
      </c>
      <c r="E362" s="1" t="str">
        <f t="shared" si="50"/>
        <v/>
      </c>
      <c r="F362" t="str">
        <f t="shared" si="51"/>
        <v/>
      </c>
      <c r="G362" t="str">
        <f>IF(C362="","",ProcessUrl(E362,F362))</f>
        <v/>
      </c>
      <c r="H362" t="str">
        <f t="shared" si="52"/>
        <v/>
      </c>
      <c r="I362" t="str">
        <f t="shared" si="53"/>
        <v/>
      </c>
      <c r="J362" t="str">
        <f>IF(C362="","",ProcessUrl(H362,I362))</f>
        <v/>
      </c>
      <c r="K362" s="7" t="str">
        <f t="shared" si="54"/>
        <v/>
      </c>
      <c r="L362" s="7" t="str">
        <f t="shared" si="55"/>
        <v/>
      </c>
      <c r="M362" s="7" t="str">
        <f t="shared" si="56"/>
        <v/>
      </c>
      <c r="N362" s="7" t="str">
        <f t="shared" si="57"/>
        <v/>
      </c>
      <c r="O362" s="7" t="str">
        <f t="shared" si="58"/>
        <v/>
      </c>
      <c r="P362" t="str">
        <f t="shared" si="59"/>
        <v/>
      </c>
      <c r="Q362" t="str">
        <f>IF(C362="","",ProcessUrl(P362,"GetTestResults"))</f>
        <v/>
      </c>
      <c r="R362" s="10" t="str">
        <f>IF(C362="","",JsProcess("JsonItem",JsProcess("JsonItem",Q362,"Passed"),"count"))</f>
        <v/>
      </c>
      <c r="S362" s="10" t="str">
        <f>IF(C362="","",JsProcess("JsonItem",JsProcess("JsonItem",Q362,"NotExecuted"),"count"))</f>
        <v/>
      </c>
    </row>
    <row r="363" spans="4:19" x14ac:dyDescent="0.25">
      <c r="D363" t="str">
        <f>IF(C363="","",VLOOKUP(A363,Projects!A:B,2,FALSE))</f>
        <v/>
      </c>
      <c r="E363" s="1" t="str">
        <f t="shared" si="50"/>
        <v/>
      </c>
      <c r="F363" t="str">
        <f t="shared" si="51"/>
        <v/>
      </c>
      <c r="G363" t="str">
        <f>IF(C363="","",ProcessUrl(E363,F363))</f>
        <v/>
      </c>
      <c r="H363" t="str">
        <f t="shared" si="52"/>
        <v/>
      </c>
      <c r="I363" t="str">
        <f t="shared" si="53"/>
        <v/>
      </c>
      <c r="J363" t="str">
        <f>IF(C363="","",ProcessUrl(H363,I363))</f>
        <v/>
      </c>
      <c r="K363" s="7" t="str">
        <f t="shared" si="54"/>
        <v/>
      </c>
      <c r="L363" s="7" t="str">
        <f t="shared" si="55"/>
        <v/>
      </c>
      <c r="M363" s="7" t="str">
        <f t="shared" si="56"/>
        <v/>
      </c>
      <c r="N363" s="7" t="str">
        <f t="shared" si="57"/>
        <v/>
      </c>
      <c r="O363" s="7" t="str">
        <f t="shared" si="58"/>
        <v/>
      </c>
      <c r="P363" t="str">
        <f t="shared" si="59"/>
        <v/>
      </c>
      <c r="Q363" t="str">
        <f>IF(C363="","",ProcessUrl(P363,"GetTestResults"))</f>
        <v/>
      </c>
      <c r="R363" s="10" t="str">
        <f>IF(C363="","",JsProcess("JsonItem",JsProcess("JsonItem",Q363,"Passed"),"count"))</f>
        <v/>
      </c>
      <c r="S363" s="10" t="str">
        <f>IF(C363="","",JsProcess("JsonItem",JsProcess("JsonItem",Q363,"NotExecuted"),"count"))</f>
        <v/>
      </c>
    </row>
    <row r="364" spans="4:19" x14ac:dyDescent="0.25">
      <c r="D364" t="str">
        <f>IF(C364="","",VLOOKUP(A364,Projects!A:B,2,FALSE))</f>
        <v/>
      </c>
      <c r="E364" s="1" t="str">
        <f t="shared" si="50"/>
        <v/>
      </c>
      <c r="F364" t="str">
        <f t="shared" si="51"/>
        <v/>
      </c>
      <c r="G364" t="str">
        <f>IF(C364="","",ProcessUrl(E364,F364))</f>
        <v/>
      </c>
      <c r="H364" t="str">
        <f t="shared" si="52"/>
        <v/>
      </c>
      <c r="I364" t="str">
        <f t="shared" si="53"/>
        <v/>
      </c>
      <c r="J364" t="str">
        <f>IF(C364="","",ProcessUrl(H364,I364))</f>
        <v/>
      </c>
      <c r="K364" s="7" t="str">
        <f t="shared" si="54"/>
        <v/>
      </c>
      <c r="L364" s="7" t="str">
        <f t="shared" si="55"/>
        <v/>
      </c>
      <c r="M364" s="7" t="str">
        <f t="shared" si="56"/>
        <v/>
      </c>
      <c r="N364" s="7" t="str">
        <f t="shared" si="57"/>
        <v/>
      </c>
      <c r="O364" s="7" t="str">
        <f t="shared" si="58"/>
        <v/>
      </c>
      <c r="P364" t="str">
        <f t="shared" si="59"/>
        <v/>
      </c>
      <c r="Q364" t="str">
        <f>IF(C364="","",ProcessUrl(P364,"GetTestResults"))</f>
        <v/>
      </c>
      <c r="R364" s="10" t="str">
        <f>IF(C364="","",JsProcess("JsonItem",JsProcess("JsonItem",Q364,"Passed"),"count"))</f>
        <v/>
      </c>
      <c r="S364" s="10" t="str">
        <f>IF(C364="","",JsProcess("JsonItem",JsProcess("JsonItem",Q364,"NotExecuted"),"count"))</f>
        <v/>
      </c>
    </row>
    <row r="365" spans="4:19" x14ac:dyDescent="0.25">
      <c r="D365" t="str">
        <f>IF(C365="","",VLOOKUP(A365,Projects!A:B,2,FALSE))</f>
        <v/>
      </c>
      <c r="E365" s="1" t="str">
        <f t="shared" si="50"/>
        <v/>
      </c>
      <c r="F365" t="str">
        <f t="shared" si="51"/>
        <v/>
      </c>
      <c r="G365" t="str">
        <f>IF(C365="","",ProcessUrl(E365,F365))</f>
        <v/>
      </c>
      <c r="H365" t="str">
        <f t="shared" si="52"/>
        <v/>
      </c>
      <c r="I365" t="str">
        <f t="shared" si="53"/>
        <v/>
      </c>
      <c r="J365" t="str">
        <f>IF(C365="","",ProcessUrl(H365,I365))</f>
        <v/>
      </c>
      <c r="K365" s="7" t="str">
        <f t="shared" si="54"/>
        <v/>
      </c>
      <c r="L365" s="7" t="str">
        <f t="shared" si="55"/>
        <v/>
      </c>
      <c r="M365" s="7" t="str">
        <f t="shared" si="56"/>
        <v/>
      </c>
      <c r="N365" s="7" t="str">
        <f t="shared" si="57"/>
        <v/>
      </c>
      <c r="O365" s="7" t="str">
        <f t="shared" si="58"/>
        <v/>
      </c>
      <c r="P365" t="str">
        <f t="shared" si="59"/>
        <v/>
      </c>
      <c r="Q365" t="str">
        <f>IF(C365="","",ProcessUrl(P365,"GetTestResults"))</f>
        <v/>
      </c>
      <c r="R365" s="10" t="str">
        <f>IF(C365="","",JsProcess("JsonItem",JsProcess("JsonItem",Q365,"Passed"),"count"))</f>
        <v/>
      </c>
      <c r="S365" s="10" t="str">
        <f>IF(C365="","",JsProcess("JsonItem",JsProcess("JsonItem",Q365,"NotExecuted"),"count"))</f>
        <v/>
      </c>
    </row>
    <row r="366" spans="4:19" x14ac:dyDescent="0.25">
      <c r="D366" t="str">
        <f>IF(C366="","",VLOOKUP(A366,Projects!A:B,2,FALSE))</f>
        <v/>
      </c>
      <c r="E366" s="1" t="str">
        <f t="shared" si="50"/>
        <v/>
      </c>
      <c r="F366" t="str">
        <f t="shared" si="51"/>
        <v/>
      </c>
      <c r="G366" t="str">
        <f>IF(C366="","",ProcessUrl(E366,F366))</f>
        <v/>
      </c>
      <c r="H366" t="str">
        <f t="shared" si="52"/>
        <v/>
      </c>
      <c r="I366" t="str">
        <f t="shared" si="53"/>
        <v/>
      </c>
      <c r="J366" t="str">
        <f>IF(C366="","",ProcessUrl(H366,I366))</f>
        <v/>
      </c>
      <c r="K366" s="7" t="str">
        <f t="shared" si="54"/>
        <v/>
      </c>
      <c r="L366" s="7" t="str">
        <f t="shared" si="55"/>
        <v/>
      </c>
      <c r="M366" s="7" t="str">
        <f t="shared" si="56"/>
        <v/>
      </c>
      <c r="N366" s="7" t="str">
        <f t="shared" si="57"/>
        <v/>
      </c>
      <c r="O366" s="7" t="str">
        <f t="shared" si="58"/>
        <v/>
      </c>
      <c r="P366" t="str">
        <f t="shared" si="59"/>
        <v/>
      </c>
      <c r="Q366" t="str">
        <f>IF(C366="","",ProcessUrl(P366,"GetTestResults"))</f>
        <v/>
      </c>
      <c r="R366" s="10" t="str">
        <f>IF(C366="","",JsProcess("JsonItem",JsProcess("JsonItem",Q366,"Passed"),"count"))</f>
        <v/>
      </c>
      <c r="S366" s="10" t="str">
        <f>IF(C366="","",JsProcess("JsonItem",JsProcess("JsonItem",Q366,"NotExecuted"),"count"))</f>
        <v/>
      </c>
    </row>
    <row r="367" spans="4:19" x14ac:dyDescent="0.25">
      <c r="D367" t="str">
        <f>IF(C367="","",VLOOKUP(A367,Projects!A:B,2,FALSE))</f>
        <v/>
      </c>
      <c r="E367" s="1" t="str">
        <f t="shared" si="50"/>
        <v/>
      </c>
      <c r="F367" t="str">
        <f t="shared" si="51"/>
        <v/>
      </c>
      <c r="G367" t="str">
        <f>IF(C367="","",ProcessUrl(E367,F367))</f>
        <v/>
      </c>
      <c r="H367" t="str">
        <f t="shared" si="52"/>
        <v/>
      </c>
      <c r="I367" t="str">
        <f t="shared" si="53"/>
        <v/>
      </c>
      <c r="J367" t="str">
        <f>IF(C367="","",ProcessUrl(H367,I367))</f>
        <v/>
      </c>
      <c r="K367" s="7" t="str">
        <f t="shared" si="54"/>
        <v/>
      </c>
      <c r="L367" s="7" t="str">
        <f t="shared" si="55"/>
        <v/>
      </c>
      <c r="M367" s="7" t="str">
        <f t="shared" si="56"/>
        <v/>
      </c>
      <c r="N367" s="7" t="str">
        <f t="shared" si="57"/>
        <v/>
      </c>
      <c r="O367" s="7" t="str">
        <f t="shared" si="58"/>
        <v/>
      </c>
      <c r="P367" t="str">
        <f t="shared" si="59"/>
        <v/>
      </c>
      <c r="Q367" t="str">
        <f>IF(C367="","",ProcessUrl(P367,"GetTestResults"))</f>
        <v/>
      </c>
      <c r="R367" s="10" t="str">
        <f>IF(C367="","",JsProcess("JsonItem",JsProcess("JsonItem",Q367,"Passed"),"count"))</f>
        <v/>
      </c>
      <c r="S367" s="10" t="str">
        <f>IF(C367="","",JsProcess("JsonItem",JsProcess("JsonItem",Q367,"NotExecuted"),"count"))</f>
        <v/>
      </c>
    </row>
    <row r="368" spans="4:19" x14ac:dyDescent="0.25">
      <c r="D368" t="str">
        <f>IF(C368="","",VLOOKUP(A368,Projects!A:B,2,FALSE))</f>
        <v/>
      </c>
      <c r="E368" s="1" t="str">
        <f t="shared" si="50"/>
        <v/>
      </c>
      <c r="F368" t="str">
        <f t="shared" si="51"/>
        <v/>
      </c>
      <c r="G368" t="str">
        <f>IF(C368="","",ProcessUrl(E368,F368))</f>
        <v/>
      </c>
      <c r="H368" t="str">
        <f t="shared" si="52"/>
        <v/>
      </c>
      <c r="I368" t="str">
        <f t="shared" si="53"/>
        <v/>
      </c>
      <c r="J368" t="str">
        <f>IF(C368="","",ProcessUrl(H368,I368))</f>
        <v/>
      </c>
      <c r="K368" s="7" t="str">
        <f t="shared" si="54"/>
        <v/>
      </c>
      <c r="L368" s="7" t="str">
        <f t="shared" si="55"/>
        <v/>
      </c>
      <c r="M368" s="7" t="str">
        <f t="shared" si="56"/>
        <v/>
      </c>
      <c r="N368" s="7" t="str">
        <f t="shared" si="57"/>
        <v/>
      </c>
      <c r="O368" s="7" t="str">
        <f t="shared" si="58"/>
        <v/>
      </c>
      <c r="P368" t="str">
        <f t="shared" si="59"/>
        <v/>
      </c>
      <c r="Q368" t="str">
        <f>IF(C368="","",ProcessUrl(P368,"GetTestResults"))</f>
        <v/>
      </c>
      <c r="R368" s="10" t="str">
        <f>IF(C368="","",JsProcess("JsonItem",JsProcess("JsonItem",Q368,"Passed"),"count"))</f>
        <v/>
      </c>
      <c r="S368" s="10" t="str">
        <f>IF(C368="","",JsProcess("JsonItem",JsProcess("JsonItem",Q368,"NotExecuted"),"count"))</f>
        <v/>
      </c>
    </row>
    <row r="369" spans="4:19" x14ac:dyDescent="0.25">
      <c r="D369" t="str">
        <f>IF(C369="","",VLOOKUP(A369,Projects!A:B,2,FALSE))</f>
        <v/>
      </c>
      <c r="E369" s="1" t="str">
        <f t="shared" si="50"/>
        <v/>
      </c>
      <c r="F369" t="str">
        <f t="shared" si="51"/>
        <v/>
      </c>
      <c r="G369" t="str">
        <f>IF(C369="","",ProcessUrl(E369,F369))</f>
        <v/>
      </c>
      <c r="H369" t="str">
        <f t="shared" si="52"/>
        <v/>
      </c>
      <c r="I369" t="str">
        <f t="shared" si="53"/>
        <v/>
      </c>
      <c r="J369" t="str">
        <f>IF(C369="","",ProcessUrl(H369,I369))</f>
        <v/>
      </c>
      <c r="K369" s="7" t="str">
        <f t="shared" si="54"/>
        <v/>
      </c>
      <c r="L369" s="7" t="str">
        <f t="shared" si="55"/>
        <v/>
      </c>
      <c r="M369" s="7" t="str">
        <f t="shared" si="56"/>
        <v/>
      </c>
      <c r="N369" s="7" t="str">
        <f t="shared" si="57"/>
        <v/>
      </c>
      <c r="O369" s="7" t="str">
        <f t="shared" si="58"/>
        <v/>
      </c>
      <c r="P369" t="str">
        <f t="shared" si="59"/>
        <v/>
      </c>
      <c r="Q369" t="str">
        <f>IF(C369="","",ProcessUrl(P369,"GetTestResults"))</f>
        <v/>
      </c>
      <c r="R369" s="10" t="str">
        <f>IF(C369="","",JsProcess("JsonItem",JsProcess("JsonItem",Q369,"Passed"),"count"))</f>
        <v/>
      </c>
      <c r="S369" s="10" t="str">
        <f>IF(C369="","",JsProcess("JsonItem",JsProcess("JsonItem",Q369,"NotExecuted"),"count"))</f>
        <v/>
      </c>
    </row>
    <row r="370" spans="4:19" x14ac:dyDescent="0.25">
      <c r="D370" t="str">
        <f>IF(C370="","",VLOOKUP(A370,Projects!A:B,2,FALSE))</f>
        <v/>
      </c>
      <c r="E370" s="1" t="str">
        <f t="shared" si="50"/>
        <v/>
      </c>
      <c r="F370" t="str">
        <f t="shared" si="51"/>
        <v/>
      </c>
      <c r="G370" t="str">
        <f>IF(C370="","",ProcessUrl(E370,F370))</f>
        <v/>
      </c>
      <c r="H370" t="str">
        <f t="shared" si="52"/>
        <v/>
      </c>
      <c r="I370" t="str">
        <f t="shared" si="53"/>
        <v/>
      </c>
      <c r="J370" t="str">
        <f>IF(C370="","",ProcessUrl(H370,I370))</f>
        <v/>
      </c>
      <c r="K370" s="7" t="str">
        <f t="shared" si="54"/>
        <v/>
      </c>
      <c r="L370" s="7" t="str">
        <f t="shared" si="55"/>
        <v/>
      </c>
      <c r="M370" s="7" t="str">
        <f t="shared" si="56"/>
        <v/>
      </c>
      <c r="N370" s="7" t="str">
        <f t="shared" si="57"/>
        <v/>
      </c>
      <c r="O370" s="7" t="str">
        <f t="shared" si="58"/>
        <v/>
      </c>
      <c r="P370" t="str">
        <f t="shared" si="59"/>
        <v/>
      </c>
      <c r="Q370" t="str">
        <f>IF(C370="","",ProcessUrl(P370,"GetTestResults"))</f>
        <v/>
      </c>
      <c r="R370" s="10" t="str">
        <f>IF(C370="","",JsProcess("JsonItem",JsProcess("JsonItem",Q370,"Passed"),"count"))</f>
        <v/>
      </c>
      <c r="S370" s="10" t="str">
        <f>IF(C370="","",JsProcess("JsonItem",JsProcess("JsonItem",Q370,"NotExecuted"),"count"))</f>
        <v/>
      </c>
    </row>
    <row r="371" spans="4:19" x14ac:dyDescent="0.25">
      <c r="D371" t="str">
        <f>IF(C371="","",VLOOKUP(A371,Projects!A:B,2,FALSE))</f>
        <v/>
      </c>
      <c r="E371" s="1" t="str">
        <f t="shared" si="50"/>
        <v/>
      </c>
      <c r="F371" t="str">
        <f t="shared" si="51"/>
        <v/>
      </c>
      <c r="G371" t="str">
        <f>IF(C371="","",ProcessUrl(E371,F371))</f>
        <v/>
      </c>
      <c r="H371" t="str">
        <f t="shared" si="52"/>
        <v/>
      </c>
      <c r="I371" t="str">
        <f t="shared" si="53"/>
        <v/>
      </c>
      <c r="J371" t="str">
        <f>IF(C371="","",ProcessUrl(H371,I371))</f>
        <v/>
      </c>
      <c r="K371" s="7" t="str">
        <f t="shared" si="54"/>
        <v/>
      </c>
      <c r="L371" s="7" t="str">
        <f t="shared" si="55"/>
        <v/>
      </c>
      <c r="M371" s="7" t="str">
        <f t="shared" si="56"/>
        <v/>
      </c>
      <c r="N371" s="7" t="str">
        <f t="shared" si="57"/>
        <v/>
      </c>
      <c r="O371" s="7" t="str">
        <f t="shared" si="58"/>
        <v/>
      </c>
      <c r="P371" t="str">
        <f t="shared" si="59"/>
        <v/>
      </c>
      <c r="Q371" t="str">
        <f>IF(C371="","",ProcessUrl(P371,"GetTestResults"))</f>
        <v/>
      </c>
      <c r="R371" s="10" t="str">
        <f>IF(C371="","",JsProcess("JsonItem",JsProcess("JsonItem",Q371,"Passed"),"count"))</f>
        <v/>
      </c>
      <c r="S371" s="10" t="str">
        <f>IF(C371="","",JsProcess("JsonItem",JsProcess("JsonItem",Q371,"NotExecuted"),"count"))</f>
        <v/>
      </c>
    </row>
    <row r="372" spans="4:19" x14ac:dyDescent="0.25">
      <c r="D372" t="str">
        <f>IF(C372="","",VLOOKUP(A372,Projects!A:B,2,FALSE))</f>
        <v/>
      </c>
      <c r="E372" s="1" t="str">
        <f t="shared" si="50"/>
        <v/>
      </c>
      <c r="F372" t="str">
        <f t="shared" si="51"/>
        <v/>
      </c>
      <c r="G372" t="str">
        <f>IF(C372="","",ProcessUrl(E372,F372))</f>
        <v/>
      </c>
      <c r="H372" t="str">
        <f t="shared" si="52"/>
        <v/>
      </c>
      <c r="I372" t="str">
        <f t="shared" si="53"/>
        <v/>
      </c>
      <c r="J372" t="str">
        <f>IF(C372="","",ProcessUrl(H372,I372))</f>
        <v/>
      </c>
      <c r="K372" s="7" t="str">
        <f t="shared" si="54"/>
        <v/>
      </c>
      <c r="L372" s="7" t="str">
        <f t="shared" si="55"/>
        <v/>
      </c>
      <c r="M372" s="7" t="str">
        <f t="shared" si="56"/>
        <v/>
      </c>
      <c r="N372" s="7" t="str">
        <f t="shared" si="57"/>
        <v/>
      </c>
      <c r="O372" s="7" t="str">
        <f t="shared" si="58"/>
        <v/>
      </c>
      <c r="P372" t="str">
        <f t="shared" si="59"/>
        <v/>
      </c>
      <c r="Q372" t="str">
        <f>IF(C372="","",ProcessUrl(P372,"GetTestResults"))</f>
        <v/>
      </c>
      <c r="R372" s="10" t="str">
        <f>IF(C372="","",JsProcess("JsonItem",JsProcess("JsonItem",Q372,"Passed"),"count"))</f>
        <v/>
      </c>
      <c r="S372" s="10" t="str">
        <f>IF(C372="","",JsProcess("JsonItem",JsProcess("JsonItem",Q372,"NotExecuted"),"count"))</f>
        <v/>
      </c>
    </row>
    <row r="373" spans="4:19" x14ac:dyDescent="0.25">
      <c r="D373" t="str">
        <f>IF(C373="","",VLOOKUP(A373,Projects!A:B,2,FALSE))</f>
        <v/>
      </c>
      <c r="E373" s="1" t="str">
        <f t="shared" si="50"/>
        <v/>
      </c>
      <c r="F373" t="str">
        <f t="shared" si="51"/>
        <v/>
      </c>
      <c r="G373" t="str">
        <f>IF(C373="","",ProcessUrl(E373,F373))</f>
        <v/>
      </c>
      <c r="H373" t="str">
        <f t="shared" si="52"/>
        <v/>
      </c>
      <c r="I373" t="str">
        <f t="shared" si="53"/>
        <v/>
      </c>
      <c r="J373" t="str">
        <f>IF(C373="","",ProcessUrl(H373,I373))</f>
        <v/>
      </c>
      <c r="K373" s="7" t="str">
        <f t="shared" si="54"/>
        <v/>
      </c>
      <c r="L373" s="7" t="str">
        <f t="shared" si="55"/>
        <v/>
      </c>
      <c r="M373" s="7" t="str">
        <f t="shared" si="56"/>
        <v/>
      </c>
      <c r="N373" s="7" t="str">
        <f t="shared" si="57"/>
        <v/>
      </c>
      <c r="O373" s="7" t="str">
        <f t="shared" si="58"/>
        <v/>
      </c>
      <c r="P373" t="str">
        <f t="shared" si="59"/>
        <v/>
      </c>
      <c r="Q373" t="str">
        <f>IF(C373="","",ProcessUrl(P373,"GetTestResults"))</f>
        <v/>
      </c>
      <c r="R373" s="10" t="str">
        <f>IF(C373="","",JsProcess("JsonItem",JsProcess("JsonItem",Q373,"Passed"),"count"))</f>
        <v/>
      </c>
      <c r="S373" s="10" t="str">
        <f>IF(C373="","",JsProcess("JsonItem",JsProcess("JsonItem",Q373,"NotExecuted"),"count"))</f>
        <v/>
      </c>
    </row>
    <row r="374" spans="4:19" x14ac:dyDescent="0.25">
      <c r="D374" t="str">
        <f>IF(C374="","",VLOOKUP(A374,Projects!A:B,2,FALSE))</f>
        <v/>
      </c>
      <c r="E374" s="1" t="str">
        <f t="shared" si="50"/>
        <v/>
      </c>
      <c r="F374" t="str">
        <f t="shared" si="51"/>
        <v/>
      </c>
      <c r="G374" t="str">
        <f>IF(C374="","",ProcessUrl(E374,F374))</f>
        <v/>
      </c>
      <c r="H374" t="str">
        <f t="shared" si="52"/>
        <v/>
      </c>
      <c r="I374" t="str">
        <f t="shared" si="53"/>
        <v/>
      </c>
      <c r="J374" t="str">
        <f>IF(C374="","",ProcessUrl(H374,I374))</f>
        <v/>
      </c>
      <c r="K374" s="7" t="str">
        <f t="shared" si="54"/>
        <v/>
      </c>
      <c r="L374" s="7" t="str">
        <f t="shared" si="55"/>
        <v/>
      </c>
      <c r="M374" s="7" t="str">
        <f t="shared" si="56"/>
        <v/>
      </c>
      <c r="N374" s="7" t="str">
        <f t="shared" si="57"/>
        <v/>
      </c>
      <c r="O374" s="7" t="str">
        <f t="shared" si="58"/>
        <v/>
      </c>
      <c r="P374" t="str">
        <f t="shared" si="59"/>
        <v/>
      </c>
      <c r="Q374" t="str">
        <f>IF(C374="","",ProcessUrl(P374,"GetTestResults"))</f>
        <v/>
      </c>
      <c r="R374" s="10" t="str">
        <f>IF(C374="","",JsProcess("JsonItem",JsProcess("JsonItem",Q374,"Passed"),"count"))</f>
        <v/>
      </c>
      <c r="S374" s="10" t="str">
        <f>IF(C374="","",JsProcess("JsonItem",JsProcess("JsonItem",Q374,"NotExecuted"),"count"))</f>
        <v/>
      </c>
    </row>
    <row r="375" spans="4:19" x14ac:dyDescent="0.25">
      <c r="D375" t="str">
        <f>IF(C375="","",VLOOKUP(A375,Projects!A:B,2,FALSE))</f>
        <v/>
      </c>
      <c r="E375" s="1" t="str">
        <f t="shared" si="50"/>
        <v/>
      </c>
      <c r="F375" t="str">
        <f t="shared" si="51"/>
        <v/>
      </c>
      <c r="G375" t="str">
        <f>IF(C375="","",ProcessUrl(E375,F375))</f>
        <v/>
      </c>
      <c r="H375" t="str">
        <f t="shared" si="52"/>
        <v/>
      </c>
      <c r="I375" t="str">
        <f t="shared" si="53"/>
        <v/>
      </c>
      <c r="J375" t="str">
        <f>IF(C375="","",ProcessUrl(H375,I375))</f>
        <v/>
      </c>
      <c r="K375" s="7" t="str">
        <f t="shared" si="54"/>
        <v/>
      </c>
      <c r="L375" s="7" t="str">
        <f t="shared" si="55"/>
        <v/>
      </c>
      <c r="M375" s="7" t="str">
        <f t="shared" si="56"/>
        <v/>
      </c>
      <c r="N375" s="7" t="str">
        <f t="shared" si="57"/>
        <v/>
      </c>
      <c r="O375" s="7" t="str">
        <f t="shared" si="58"/>
        <v/>
      </c>
      <c r="P375" t="str">
        <f t="shared" si="59"/>
        <v/>
      </c>
      <c r="Q375" t="str">
        <f>IF(C375="","",ProcessUrl(P375,"GetTestResults"))</f>
        <v/>
      </c>
      <c r="R375" s="10" t="str">
        <f>IF(C375="","",JsProcess("JsonItem",JsProcess("JsonItem",Q375,"Passed"),"count"))</f>
        <v/>
      </c>
      <c r="S375" s="10" t="str">
        <f>IF(C375="","",JsProcess("JsonItem",JsProcess("JsonItem",Q375,"NotExecuted"),"count"))</f>
        <v/>
      </c>
    </row>
    <row r="376" spans="4:19" x14ac:dyDescent="0.25">
      <c r="D376" t="str">
        <f>IF(C376="","",VLOOKUP(A376,Projects!A:B,2,FALSE))</f>
        <v/>
      </c>
      <c r="E376" s="1" t="str">
        <f t="shared" si="50"/>
        <v/>
      </c>
      <c r="F376" t="str">
        <f t="shared" si="51"/>
        <v/>
      </c>
      <c r="G376" t="str">
        <f>IF(C376="","",ProcessUrl(E376,F376))</f>
        <v/>
      </c>
      <c r="H376" t="str">
        <f t="shared" si="52"/>
        <v/>
      </c>
      <c r="I376" t="str">
        <f t="shared" si="53"/>
        <v/>
      </c>
      <c r="J376" t="str">
        <f>IF(C376="","",ProcessUrl(H376,I376))</f>
        <v/>
      </c>
      <c r="K376" s="7" t="str">
        <f t="shared" si="54"/>
        <v/>
      </c>
      <c r="L376" s="7" t="str">
        <f t="shared" si="55"/>
        <v/>
      </c>
      <c r="M376" s="7" t="str">
        <f t="shared" si="56"/>
        <v/>
      </c>
      <c r="N376" s="7" t="str">
        <f t="shared" si="57"/>
        <v/>
      </c>
      <c r="O376" s="7" t="str">
        <f t="shared" si="58"/>
        <v/>
      </c>
      <c r="P376" t="str">
        <f t="shared" si="59"/>
        <v/>
      </c>
      <c r="Q376" t="str">
        <f>IF(C376="","",ProcessUrl(P376,"GetTestResults"))</f>
        <v/>
      </c>
      <c r="R376" s="10" t="str">
        <f>IF(C376="","",JsProcess("JsonItem",JsProcess("JsonItem",Q376,"Passed"),"count"))</f>
        <v/>
      </c>
      <c r="S376" s="10" t="str">
        <f>IF(C376="","",JsProcess("JsonItem",JsProcess("JsonItem",Q376,"NotExecuted"),"count"))</f>
        <v/>
      </c>
    </row>
    <row r="377" spans="4:19" x14ac:dyDescent="0.25">
      <c r="D377" t="str">
        <f>IF(C377="","",VLOOKUP(A377,Projects!A:B,2,FALSE))</f>
        <v/>
      </c>
      <c r="E377" s="1" t="str">
        <f t="shared" si="50"/>
        <v/>
      </c>
      <c r="F377" t="str">
        <f t="shared" si="51"/>
        <v/>
      </c>
      <c r="G377" t="str">
        <f>IF(C377="","",ProcessUrl(E377,F377))</f>
        <v/>
      </c>
      <c r="H377" t="str">
        <f t="shared" si="52"/>
        <v/>
      </c>
      <c r="I377" t="str">
        <f t="shared" si="53"/>
        <v/>
      </c>
      <c r="J377" t="str">
        <f>IF(C377="","",ProcessUrl(H377,I377))</f>
        <v/>
      </c>
      <c r="K377" s="7" t="str">
        <f t="shared" si="54"/>
        <v/>
      </c>
      <c r="L377" s="7" t="str">
        <f t="shared" si="55"/>
        <v/>
      </c>
      <c r="M377" s="7" t="str">
        <f t="shared" si="56"/>
        <v/>
      </c>
      <c r="N377" s="7" t="str">
        <f t="shared" si="57"/>
        <v/>
      </c>
      <c r="O377" s="7" t="str">
        <f t="shared" si="58"/>
        <v/>
      </c>
      <c r="P377" t="str">
        <f t="shared" si="59"/>
        <v/>
      </c>
      <c r="Q377" t="str">
        <f>IF(C377="","",ProcessUrl(P377,"GetTestResults"))</f>
        <v/>
      </c>
      <c r="R377" s="10" t="str">
        <f>IF(C377="","",JsProcess("JsonItem",JsProcess("JsonItem",Q377,"Passed"),"count"))</f>
        <v/>
      </c>
      <c r="S377" s="10" t="str">
        <f>IF(C377="","",JsProcess("JsonItem",JsProcess("JsonItem",Q377,"NotExecuted"),"count"))</f>
        <v/>
      </c>
    </row>
    <row r="378" spans="4:19" x14ac:dyDescent="0.25">
      <c r="D378" t="str">
        <f>IF(C378="","",VLOOKUP(A378,Projects!A:B,2,FALSE))</f>
        <v/>
      </c>
      <c r="E378" s="1" t="str">
        <f t="shared" si="50"/>
        <v/>
      </c>
      <c r="F378" t="str">
        <f t="shared" si="51"/>
        <v/>
      </c>
      <c r="G378" t="str">
        <f>IF(C378="","",ProcessUrl(E378,F378))</f>
        <v/>
      </c>
      <c r="H378" t="str">
        <f t="shared" si="52"/>
        <v/>
      </c>
      <c r="I378" t="str">
        <f t="shared" si="53"/>
        <v/>
      </c>
      <c r="J378" t="str">
        <f>IF(C378="","",ProcessUrl(H378,I378))</f>
        <v/>
      </c>
      <c r="K378" s="7" t="str">
        <f t="shared" si="54"/>
        <v/>
      </c>
      <c r="L378" s="7" t="str">
        <f t="shared" si="55"/>
        <v/>
      </c>
      <c r="M378" s="7" t="str">
        <f t="shared" si="56"/>
        <v/>
      </c>
      <c r="N378" s="7" t="str">
        <f t="shared" si="57"/>
        <v/>
      </c>
      <c r="O378" s="7" t="str">
        <f t="shared" si="58"/>
        <v/>
      </c>
      <c r="P378" t="str">
        <f t="shared" si="59"/>
        <v/>
      </c>
      <c r="Q378" t="str">
        <f>IF(C378="","",ProcessUrl(P378,"GetTestResults"))</f>
        <v/>
      </c>
      <c r="R378" s="10" t="str">
        <f>IF(C378="","",JsProcess("JsonItem",JsProcess("JsonItem",Q378,"Passed"),"count"))</f>
        <v/>
      </c>
      <c r="S378" s="10" t="str">
        <f>IF(C378="","",JsProcess("JsonItem",JsProcess("JsonItem",Q378,"NotExecuted"),"count"))</f>
        <v/>
      </c>
    </row>
    <row r="379" spans="4:19" x14ac:dyDescent="0.25">
      <c r="D379" t="str">
        <f>IF(C379="","",VLOOKUP(A379,Projects!A:B,2,FALSE))</f>
        <v/>
      </c>
      <c r="E379" s="1" t="str">
        <f t="shared" si="50"/>
        <v/>
      </c>
      <c r="F379" t="str">
        <f t="shared" si="51"/>
        <v/>
      </c>
      <c r="G379" t="str">
        <f>IF(C379="","",ProcessUrl(E379,F379))</f>
        <v/>
      </c>
      <c r="H379" t="str">
        <f t="shared" si="52"/>
        <v/>
      </c>
      <c r="I379" t="str">
        <f t="shared" si="53"/>
        <v/>
      </c>
      <c r="J379" t="str">
        <f>IF(C379="","",ProcessUrl(H379,I379))</f>
        <v/>
      </c>
      <c r="K379" s="7" t="str">
        <f t="shared" si="54"/>
        <v/>
      </c>
      <c r="L379" s="7" t="str">
        <f t="shared" si="55"/>
        <v/>
      </c>
      <c r="M379" s="7" t="str">
        <f t="shared" si="56"/>
        <v/>
      </c>
      <c r="N379" s="7" t="str">
        <f t="shared" si="57"/>
        <v/>
      </c>
      <c r="O379" s="7" t="str">
        <f t="shared" si="58"/>
        <v/>
      </c>
      <c r="P379" t="str">
        <f t="shared" si="59"/>
        <v/>
      </c>
      <c r="Q379" t="str">
        <f>IF(C379="","",ProcessUrl(P379,"GetTestResults"))</f>
        <v/>
      </c>
      <c r="R379" s="10" t="str">
        <f>IF(C379="","",JsProcess("JsonItem",JsProcess("JsonItem",Q379,"Passed"),"count"))</f>
        <v/>
      </c>
      <c r="S379" s="10" t="str">
        <f>IF(C379="","",JsProcess("JsonItem",JsProcess("JsonItem",Q379,"NotExecuted"),"count"))</f>
        <v/>
      </c>
    </row>
    <row r="380" spans="4:19" x14ac:dyDescent="0.25">
      <c r="D380" t="str">
        <f>IF(C380="","",VLOOKUP(A380,Projects!A:B,2,FALSE))</f>
        <v/>
      </c>
      <c r="E380" s="1" t="str">
        <f t="shared" si="50"/>
        <v/>
      </c>
      <c r="F380" t="str">
        <f t="shared" si="51"/>
        <v/>
      </c>
      <c r="G380" t="str">
        <f>IF(C380="","",ProcessUrl(E380,F380))</f>
        <v/>
      </c>
      <c r="H380" t="str">
        <f t="shared" si="52"/>
        <v/>
      </c>
      <c r="I380" t="str">
        <f t="shared" si="53"/>
        <v/>
      </c>
      <c r="J380" t="str">
        <f>IF(C380="","",ProcessUrl(H380,I380))</f>
        <v/>
      </c>
      <c r="K380" s="7" t="str">
        <f t="shared" si="54"/>
        <v/>
      </c>
      <c r="L380" s="7" t="str">
        <f t="shared" si="55"/>
        <v/>
      </c>
      <c r="M380" s="7" t="str">
        <f t="shared" si="56"/>
        <v/>
      </c>
      <c r="N380" s="7" t="str">
        <f t="shared" si="57"/>
        <v/>
      </c>
      <c r="O380" s="7" t="str">
        <f t="shared" si="58"/>
        <v/>
      </c>
      <c r="P380" t="str">
        <f t="shared" si="59"/>
        <v/>
      </c>
      <c r="Q380" t="str">
        <f>IF(C380="","",ProcessUrl(P380,"GetTestResults"))</f>
        <v/>
      </c>
      <c r="R380" s="10" t="str">
        <f>IF(C380="","",JsProcess("JsonItem",JsProcess("JsonItem",Q380,"Passed"),"count"))</f>
        <v/>
      </c>
      <c r="S380" s="10" t="str">
        <f>IF(C380="","",JsProcess("JsonItem",JsProcess("JsonItem",Q380,"NotExecuted"),"count"))</f>
        <v/>
      </c>
    </row>
    <row r="381" spans="4:19" x14ac:dyDescent="0.25">
      <c r="D381" t="str">
        <f>IF(C381="","",VLOOKUP(A381,Projects!A:B,2,FALSE))</f>
        <v/>
      </c>
      <c r="E381" s="1" t="str">
        <f t="shared" si="50"/>
        <v/>
      </c>
      <c r="F381" t="str">
        <f t="shared" si="51"/>
        <v/>
      </c>
      <c r="G381" t="str">
        <f>IF(C381="","",ProcessUrl(E381,F381))</f>
        <v/>
      </c>
      <c r="H381" t="str">
        <f t="shared" si="52"/>
        <v/>
      </c>
      <c r="I381" t="str">
        <f t="shared" si="53"/>
        <v/>
      </c>
      <c r="J381" t="str">
        <f>IF(C381="","",ProcessUrl(H381,I381))</f>
        <v/>
      </c>
      <c r="K381" s="7" t="str">
        <f t="shared" si="54"/>
        <v/>
      </c>
      <c r="L381" s="7" t="str">
        <f t="shared" si="55"/>
        <v/>
      </c>
      <c r="M381" s="7" t="str">
        <f t="shared" si="56"/>
        <v/>
      </c>
      <c r="N381" s="7" t="str">
        <f t="shared" si="57"/>
        <v/>
      </c>
      <c r="O381" s="7" t="str">
        <f t="shared" si="58"/>
        <v/>
      </c>
      <c r="P381" t="str">
        <f t="shared" si="59"/>
        <v/>
      </c>
      <c r="Q381" t="str">
        <f>IF(C381="","",ProcessUrl(P381,"GetTestResults"))</f>
        <v/>
      </c>
      <c r="R381" s="10" t="str">
        <f>IF(C381="","",JsProcess("JsonItem",JsProcess("JsonItem",Q381,"Passed"),"count"))</f>
        <v/>
      </c>
      <c r="S381" s="10" t="str">
        <f>IF(C381="","",JsProcess("JsonItem",JsProcess("JsonItem",Q381,"NotExecuted"),"count"))</f>
        <v/>
      </c>
    </row>
    <row r="382" spans="4:19" x14ac:dyDescent="0.25">
      <c r="D382" t="str">
        <f>IF(C382="","",VLOOKUP(A382,Projects!A:B,2,FALSE))</f>
        <v/>
      </c>
      <c r="E382" s="1" t="str">
        <f t="shared" si="50"/>
        <v/>
      </c>
      <c r="F382" t="str">
        <f t="shared" si="51"/>
        <v/>
      </c>
      <c r="G382" t="str">
        <f>IF(C382="","",ProcessUrl(E382,F382))</f>
        <v/>
      </c>
      <c r="H382" t="str">
        <f t="shared" si="52"/>
        <v/>
      </c>
      <c r="I382" t="str">
        <f t="shared" si="53"/>
        <v/>
      </c>
      <c r="J382" t="str">
        <f>IF(C382="","",ProcessUrl(H382,I382))</f>
        <v/>
      </c>
      <c r="K382" s="7" t="str">
        <f t="shared" si="54"/>
        <v/>
      </c>
      <c r="L382" s="7" t="str">
        <f t="shared" si="55"/>
        <v/>
      </c>
      <c r="M382" s="7" t="str">
        <f t="shared" si="56"/>
        <v/>
      </c>
      <c r="N382" s="7" t="str">
        <f t="shared" si="57"/>
        <v/>
      </c>
      <c r="O382" s="7" t="str">
        <f t="shared" si="58"/>
        <v/>
      </c>
      <c r="P382" t="str">
        <f t="shared" si="59"/>
        <v/>
      </c>
      <c r="Q382" t="str">
        <f>IF(C382="","",ProcessUrl(P382,"GetTestResults"))</f>
        <v/>
      </c>
      <c r="R382" s="10" t="str">
        <f>IF(C382="","",JsProcess("JsonItem",JsProcess("JsonItem",Q382,"Passed"),"count"))</f>
        <v/>
      </c>
      <c r="S382" s="10" t="str">
        <f>IF(C382="","",JsProcess("JsonItem",JsProcess("JsonItem",Q382,"NotExecuted"),"count"))</f>
        <v/>
      </c>
    </row>
    <row r="383" spans="4:19" x14ac:dyDescent="0.25">
      <c r="D383" t="str">
        <f>IF(C383="","",VLOOKUP(A383,Projects!A:B,2,FALSE))</f>
        <v/>
      </c>
      <c r="E383" s="1" t="str">
        <f t="shared" si="50"/>
        <v/>
      </c>
      <c r="F383" t="str">
        <f t="shared" si="51"/>
        <v/>
      </c>
      <c r="G383" t="str">
        <f>IF(C383="","",ProcessUrl(E383,F383))</f>
        <v/>
      </c>
      <c r="H383" t="str">
        <f t="shared" si="52"/>
        <v/>
      </c>
      <c r="I383" t="str">
        <f t="shared" si="53"/>
        <v/>
      </c>
      <c r="J383" t="str">
        <f>IF(C383="","",ProcessUrl(H383,I383))</f>
        <v/>
      </c>
      <c r="K383" s="7" t="str">
        <f t="shared" si="54"/>
        <v/>
      </c>
      <c r="L383" s="7" t="str">
        <f t="shared" si="55"/>
        <v/>
      </c>
      <c r="M383" s="7" t="str">
        <f t="shared" si="56"/>
        <v/>
      </c>
      <c r="N383" s="7" t="str">
        <f t="shared" si="57"/>
        <v/>
      </c>
      <c r="O383" s="7" t="str">
        <f t="shared" si="58"/>
        <v/>
      </c>
      <c r="P383" t="str">
        <f t="shared" si="59"/>
        <v/>
      </c>
      <c r="Q383" t="str">
        <f>IF(C383="","",ProcessUrl(P383,"GetTestResults"))</f>
        <v/>
      </c>
      <c r="R383" s="10" t="str">
        <f>IF(C383="","",JsProcess("JsonItem",JsProcess("JsonItem",Q383,"Passed"),"count"))</f>
        <v/>
      </c>
      <c r="S383" s="10" t="str">
        <f>IF(C383="","",JsProcess("JsonItem",JsProcess("JsonItem",Q383,"NotExecuted"),"count"))</f>
        <v/>
      </c>
    </row>
    <row r="384" spans="4:19" x14ac:dyDescent="0.25">
      <c r="D384" t="str">
        <f>IF(C384="","",VLOOKUP(A384,Projects!A:B,2,FALSE))</f>
        <v/>
      </c>
      <c r="E384" s="1" t="str">
        <f t="shared" si="50"/>
        <v/>
      </c>
      <c r="F384" t="str">
        <f t="shared" si="51"/>
        <v/>
      </c>
      <c r="G384" t="str">
        <f>IF(C384="","",ProcessUrl(E384,F384))</f>
        <v/>
      </c>
      <c r="H384" t="str">
        <f t="shared" si="52"/>
        <v/>
      </c>
      <c r="I384" t="str">
        <f t="shared" si="53"/>
        <v/>
      </c>
      <c r="J384" t="str">
        <f>IF(C384="","",ProcessUrl(H384,I384))</f>
        <v/>
      </c>
      <c r="K384" s="7" t="str">
        <f t="shared" si="54"/>
        <v/>
      </c>
      <c r="L384" s="7" t="str">
        <f t="shared" si="55"/>
        <v/>
      </c>
      <c r="M384" s="7" t="str">
        <f t="shared" si="56"/>
        <v/>
      </c>
      <c r="N384" s="7" t="str">
        <f t="shared" si="57"/>
        <v/>
      </c>
      <c r="O384" s="7" t="str">
        <f t="shared" si="58"/>
        <v/>
      </c>
      <c r="P384" t="str">
        <f t="shared" si="59"/>
        <v/>
      </c>
      <c r="Q384" t="str">
        <f>IF(C384="","",ProcessUrl(P384,"GetTestResults"))</f>
        <v/>
      </c>
      <c r="R384" s="10" t="str">
        <f>IF(C384="","",JsProcess("JsonItem",JsProcess("JsonItem",Q384,"Passed"),"count"))</f>
        <v/>
      </c>
      <c r="S384" s="10" t="str">
        <f>IF(C384="","",JsProcess("JsonItem",JsProcess("JsonItem",Q384,"NotExecuted"),"count"))</f>
        <v/>
      </c>
    </row>
    <row r="385" spans="4:19" x14ac:dyDescent="0.25">
      <c r="D385" t="str">
        <f>IF(C385="","",VLOOKUP(A385,Projects!A:B,2,FALSE))</f>
        <v/>
      </c>
      <c r="E385" s="1" t="str">
        <f t="shared" si="50"/>
        <v/>
      </c>
      <c r="F385" t="str">
        <f t="shared" si="51"/>
        <v/>
      </c>
      <c r="G385" t="str">
        <f>IF(C385="","",ProcessUrl(E385,F385))</f>
        <v/>
      </c>
      <c r="H385" t="str">
        <f t="shared" si="52"/>
        <v/>
      </c>
      <c r="I385" t="str">
        <f t="shared" si="53"/>
        <v/>
      </c>
      <c r="J385" t="str">
        <f>IF(C385="","",ProcessUrl(H385,I385))</f>
        <v/>
      </c>
      <c r="K385" s="7" t="str">
        <f t="shared" si="54"/>
        <v/>
      </c>
      <c r="L385" s="7" t="str">
        <f t="shared" si="55"/>
        <v/>
      </c>
      <c r="M385" s="7" t="str">
        <f t="shared" si="56"/>
        <v/>
      </c>
      <c r="N385" s="7" t="str">
        <f t="shared" si="57"/>
        <v/>
      </c>
      <c r="O385" s="7" t="str">
        <f t="shared" si="58"/>
        <v/>
      </c>
      <c r="P385" t="str">
        <f t="shared" si="59"/>
        <v/>
      </c>
      <c r="Q385" t="str">
        <f>IF(C385="","",ProcessUrl(P385,"GetTestResults"))</f>
        <v/>
      </c>
      <c r="R385" s="10" t="str">
        <f>IF(C385="","",JsProcess("JsonItem",JsProcess("JsonItem",Q385,"Passed"),"count"))</f>
        <v/>
      </c>
      <c r="S385" s="10" t="str">
        <f>IF(C385="","",JsProcess("JsonItem",JsProcess("JsonItem",Q385,"NotExecuted"),"count"))</f>
        <v/>
      </c>
    </row>
    <row r="386" spans="4:19" x14ac:dyDescent="0.25">
      <c r="D386" t="str">
        <f>IF(C386="","",VLOOKUP(A386,Projects!A:B,2,FALSE))</f>
        <v/>
      </c>
      <c r="E386" s="1" t="str">
        <f t="shared" si="50"/>
        <v/>
      </c>
      <c r="F386" t="str">
        <f t="shared" si="51"/>
        <v/>
      </c>
      <c r="G386" t="str">
        <f>IF(C386="","",ProcessUrl(E386,F386))</f>
        <v/>
      </c>
      <c r="H386" t="str">
        <f t="shared" si="52"/>
        <v/>
      </c>
      <c r="I386" t="str">
        <f t="shared" si="53"/>
        <v/>
      </c>
      <c r="J386" t="str">
        <f>IF(C386="","",ProcessUrl(H386,I386))</f>
        <v/>
      </c>
      <c r="K386" s="7" t="str">
        <f t="shared" si="54"/>
        <v/>
      </c>
      <c r="L386" s="7" t="str">
        <f t="shared" si="55"/>
        <v/>
      </c>
      <c r="M386" s="7" t="str">
        <f t="shared" si="56"/>
        <v/>
      </c>
      <c r="N386" s="7" t="str">
        <f t="shared" si="57"/>
        <v/>
      </c>
      <c r="O386" s="7" t="str">
        <f t="shared" si="58"/>
        <v/>
      </c>
      <c r="P386" t="str">
        <f t="shared" si="59"/>
        <v/>
      </c>
      <c r="Q386" t="str">
        <f>IF(C386="","",ProcessUrl(P386,"GetTestResults"))</f>
        <v/>
      </c>
      <c r="R386" s="10" t="str">
        <f>IF(C386="","",JsProcess("JsonItem",JsProcess("JsonItem",Q386,"Passed"),"count"))</f>
        <v/>
      </c>
      <c r="S386" s="10" t="str">
        <f>IF(C386="","",JsProcess("JsonItem",JsProcess("JsonItem",Q386,"NotExecuted"),"count"))</f>
        <v/>
      </c>
    </row>
    <row r="387" spans="4:19" x14ac:dyDescent="0.25">
      <c r="D387" t="str">
        <f>IF(C387="","",VLOOKUP(A387,Projects!A:B,2,FALSE))</f>
        <v/>
      </c>
      <c r="E387" s="1" t="str">
        <f t="shared" si="50"/>
        <v/>
      </c>
      <c r="F387" t="str">
        <f t="shared" si="51"/>
        <v/>
      </c>
      <c r="G387" t="str">
        <f>IF(C387="","",ProcessUrl(E387,F387))</f>
        <v/>
      </c>
      <c r="H387" t="str">
        <f t="shared" si="52"/>
        <v/>
      </c>
      <c r="I387" t="str">
        <f t="shared" si="53"/>
        <v/>
      </c>
      <c r="J387" t="str">
        <f>IF(C387="","",ProcessUrl(H387,I387))</f>
        <v/>
      </c>
      <c r="K387" s="7" t="str">
        <f t="shared" si="54"/>
        <v/>
      </c>
      <c r="L387" s="7" t="str">
        <f t="shared" si="55"/>
        <v/>
      </c>
      <c r="M387" s="7" t="str">
        <f t="shared" si="56"/>
        <v/>
      </c>
      <c r="N387" s="7" t="str">
        <f t="shared" si="57"/>
        <v/>
      </c>
      <c r="O387" s="7" t="str">
        <f t="shared" si="58"/>
        <v/>
      </c>
      <c r="P387" t="str">
        <f t="shared" si="59"/>
        <v/>
      </c>
      <c r="Q387" t="str">
        <f>IF(C387="","",ProcessUrl(P387,"GetTestResults"))</f>
        <v/>
      </c>
      <c r="R387" s="10" t="str">
        <f>IF(C387="","",JsProcess("JsonItem",JsProcess("JsonItem",Q387,"Passed"),"count"))</f>
        <v/>
      </c>
      <c r="S387" s="10" t="str">
        <f>IF(C387="","",JsProcess("JsonItem",JsProcess("JsonItem",Q387,"NotExecuted"),"count"))</f>
        <v/>
      </c>
    </row>
    <row r="388" spans="4:19" x14ac:dyDescent="0.25">
      <c r="D388" t="str">
        <f>IF(C388="","",VLOOKUP(A388,Projects!A:B,2,FALSE))</f>
        <v/>
      </c>
      <c r="E388" s="1" t="str">
        <f t="shared" ref="E388:E451" si="60">IF(C388="","","http://tfs.ttx.com:8080/tfs/DefaultCollection/"&amp;D388&amp;"/_apis/build/Builds?%24top=25&amp;statusFilter=2&amp;definitions="&amp;C388)</f>
        <v/>
      </c>
      <c r="F388" t="str">
        <f t="shared" ref="F388:F451" si="61">IF(C388="","","GetRecentBuildId")</f>
        <v/>
      </c>
      <c r="G388" t="str">
        <f>IF(C388="","",ProcessUrl(E388,F388))</f>
        <v/>
      </c>
      <c r="H388" t="str">
        <f t="shared" ref="H388:H451" si="62">IF(C388="","","http://tfs.ttx.com:8080/tfs/DefaultCollection/"&amp;D388&amp;"/_apis/test/CodeCoverage?buildId="&amp;G388&amp;"&amp;flags=1")</f>
        <v/>
      </c>
      <c r="I388" t="str">
        <f t="shared" ref="I388:I451" si="63">IF(C388="","","GetCodeCoverage")</f>
        <v/>
      </c>
      <c r="J388" t="str">
        <f>IF(C388="","",ProcessUrl(H388,I388))</f>
        <v/>
      </c>
      <c r="K388" s="7" t="str">
        <f t="shared" ref="K388:K451" si="64">IF(C388="","",JsProcess("JsonItem",J388,"blocksCovered"))</f>
        <v/>
      </c>
      <c r="L388" s="7" t="str">
        <f t="shared" ref="L388:L451" si="65">IF(C388="","",JsProcess("JsonItem",J388,"blocksNotCovered"))</f>
        <v/>
      </c>
      <c r="M388" s="7" t="str">
        <f t="shared" ref="M388:M451" si="66">IF(C388="","",JsProcess("JsonItem",J388,"linesCovered"))</f>
        <v/>
      </c>
      <c r="N388" s="7" t="str">
        <f t="shared" ref="N388:N451" si="67">IF(C388="","",JsProcess("JsonItem",J388,"linesNotCovered"))</f>
        <v/>
      </c>
      <c r="O388" s="7" t="str">
        <f t="shared" ref="O388:O451" si="68">IF(C388="","",JsProcess("JsonItem",J388,"linesPartiallyCovered"))</f>
        <v/>
      </c>
      <c r="P388" t="str">
        <f t="shared" ref="P388:P451" si="69">IF(C388="","","http://tfs.ttx.com:8080/tfs/DefaultCollection/"&amp;A388&amp;"/_apis/test/ReportForBuild/"&amp;G388&amp;"?sourceWorkflow=CI&amp;includeFailureDetails=true ")</f>
        <v/>
      </c>
      <c r="Q388" t="str">
        <f>IF(C388="","",ProcessUrl(P388,"GetTestResults"))</f>
        <v/>
      </c>
      <c r="R388" s="10" t="str">
        <f>IF(C388="","",JsProcess("JsonItem",JsProcess("JsonItem",Q388,"Passed"),"count"))</f>
        <v/>
      </c>
      <c r="S388" s="10" t="str">
        <f>IF(C388="","",JsProcess("JsonItem",JsProcess("JsonItem",Q388,"NotExecuted"),"count"))</f>
        <v/>
      </c>
    </row>
    <row r="389" spans="4:19" x14ac:dyDescent="0.25">
      <c r="D389" t="str">
        <f>IF(C389="","",VLOOKUP(A389,Projects!A:B,2,FALSE))</f>
        <v/>
      </c>
      <c r="E389" s="1" t="str">
        <f t="shared" si="60"/>
        <v/>
      </c>
      <c r="F389" t="str">
        <f t="shared" si="61"/>
        <v/>
      </c>
      <c r="G389" t="str">
        <f>IF(C389="","",ProcessUrl(E389,F389))</f>
        <v/>
      </c>
      <c r="H389" t="str">
        <f t="shared" si="62"/>
        <v/>
      </c>
      <c r="I389" t="str">
        <f t="shared" si="63"/>
        <v/>
      </c>
      <c r="J389" t="str">
        <f>IF(C389="","",ProcessUrl(H389,I389))</f>
        <v/>
      </c>
      <c r="K389" s="7" t="str">
        <f t="shared" si="64"/>
        <v/>
      </c>
      <c r="L389" s="7" t="str">
        <f t="shared" si="65"/>
        <v/>
      </c>
      <c r="M389" s="7" t="str">
        <f t="shared" si="66"/>
        <v/>
      </c>
      <c r="N389" s="7" t="str">
        <f t="shared" si="67"/>
        <v/>
      </c>
      <c r="O389" s="7" t="str">
        <f t="shared" si="68"/>
        <v/>
      </c>
      <c r="P389" t="str">
        <f t="shared" si="69"/>
        <v/>
      </c>
      <c r="Q389" t="str">
        <f>IF(C389="","",ProcessUrl(P389,"GetTestResults"))</f>
        <v/>
      </c>
      <c r="R389" s="10" t="str">
        <f>IF(C389="","",JsProcess("JsonItem",JsProcess("JsonItem",Q389,"Passed"),"count"))</f>
        <v/>
      </c>
      <c r="S389" s="10" t="str">
        <f>IF(C389="","",JsProcess("JsonItem",JsProcess("JsonItem",Q389,"NotExecuted"),"count"))</f>
        <v/>
      </c>
    </row>
    <row r="390" spans="4:19" x14ac:dyDescent="0.25">
      <c r="D390" t="str">
        <f>IF(C390="","",VLOOKUP(A390,Projects!A:B,2,FALSE))</f>
        <v/>
      </c>
      <c r="E390" s="1" t="str">
        <f t="shared" si="60"/>
        <v/>
      </c>
      <c r="F390" t="str">
        <f t="shared" si="61"/>
        <v/>
      </c>
      <c r="G390" t="str">
        <f>IF(C390="","",ProcessUrl(E390,F390))</f>
        <v/>
      </c>
      <c r="H390" t="str">
        <f t="shared" si="62"/>
        <v/>
      </c>
      <c r="I390" t="str">
        <f t="shared" si="63"/>
        <v/>
      </c>
      <c r="J390" t="str">
        <f>IF(C390="","",ProcessUrl(H390,I390))</f>
        <v/>
      </c>
      <c r="K390" s="7" t="str">
        <f t="shared" si="64"/>
        <v/>
      </c>
      <c r="L390" s="7" t="str">
        <f t="shared" si="65"/>
        <v/>
      </c>
      <c r="M390" s="7" t="str">
        <f t="shared" si="66"/>
        <v/>
      </c>
      <c r="N390" s="7" t="str">
        <f t="shared" si="67"/>
        <v/>
      </c>
      <c r="O390" s="7" t="str">
        <f t="shared" si="68"/>
        <v/>
      </c>
      <c r="P390" t="str">
        <f t="shared" si="69"/>
        <v/>
      </c>
      <c r="Q390" t="str">
        <f>IF(C390="","",ProcessUrl(P390,"GetTestResults"))</f>
        <v/>
      </c>
      <c r="R390" s="10" t="str">
        <f>IF(C390="","",JsProcess("JsonItem",JsProcess("JsonItem",Q390,"Passed"),"count"))</f>
        <v/>
      </c>
      <c r="S390" s="10" t="str">
        <f>IF(C390="","",JsProcess("JsonItem",JsProcess("JsonItem",Q390,"NotExecuted"),"count"))</f>
        <v/>
      </c>
    </row>
    <row r="391" spans="4:19" x14ac:dyDescent="0.25">
      <c r="D391" t="str">
        <f>IF(C391="","",VLOOKUP(A391,Projects!A:B,2,FALSE))</f>
        <v/>
      </c>
      <c r="E391" s="1" t="str">
        <f t="shared" si="60"/>
        <v/>
      </c>
      <c r="F391" t="str">
        <f t="shared" si="61"/>
        <v/>
      </c>
      <c r="G391" t="str">
        <f>IF(C391="","",ProcessUrl(E391,F391))</f>
        <v/>
      </c>
      <c r="H391" t="str">
        <f t="shared" si="62"/>
        <v/>
      </c>
      <c r="I391" t="str">
        <f t="shared" si="63"/>
        <v/>
      </c>
      <c r="J391" t="str">
        <f>IF(C391="","",ProcessUrl(H391,I391))</f>
        <v/>
      </c>
      <c r="K391" s="7" t="str">
        <f t="shared" si="64"/>
        <v/>
      </c>
      <c r="L391" s="7" t="str">
        <f t="shared" si="65"/>
        <v/>
      </c>
      <c r="M391" s="7" t="str">
        <f t="shared" si="66"/>
        <v/>
      </c>
      <c r="N391" s="7" t="str">
        <f t="shared" si="67"/>
        <v/>
      </c>
      <c r="O391" s="7" t="str">
        <f t="shared" si="68"/>
        <v/>
      </c>
      <c r="P391" t="str">
        <f t="shared" si="69"/>
        <v/>
      </c>
      <c r="Q391" t="str">
        <f>IF(C391="","",ProcessUrl(P391,"GetTestResults"))</f>
        <v/>
      </c>
      <c r="R391" s="10" t="str">
        <f>IF(C391="","",JsProcess("JsonItem",JsProcess("JsonItem",Q391,"Passed"),"count"))</f>
        <v/>
      </c>
      <c r="S391" s="10" t="str">
        <f>IF(C391="","",JsProcess("JsonItem",JsProcess("JsonItem",Q391,"NotExecuted"),"count"))</f>
        <v/>
      </c>
    </row>
    <row r="392" spans="4:19" x14ac:dyDescent="0.25">
      <c r="D392" t="str">
        <f>IF(C392="","",VLOOKUP(A392,Projects!A:B,2,FALSE))</f>
        <v/>
      </c>
      <c r="E392" s="1" t="str">
        <f t="shared" si="60"/>
        <v/>
      </c>
      <c r="F392" t="str">
        <f t="shared" si="61"/>
        <v/>
      </c>
      <c r="G392" t="str">
        <f>IF(C392="","",ProcessUrl(E392,F392))</f>
        <v/>
      </c>
      <c r="H392" t="str">
        <f t="shared" si="62"/>
        <v/>
      </c>
      <c r="I392" t="str">
        <f t="shared" si="63"/>
        <v/>
      </c>
      <c r="J392" t="str">
        <f>IF(C392="","",ProcessUrl(H392,I392))</f>
        <v/>
      </c>
      <c r="K392" s="7" t="str">
        <f t="shared" si="64"/>
        <v/>
      </c>
      <c r="L392" s="7" t="str">
        <f t="shared" si="65"/>
        <v/>
      </c>
      <c r="M392" s="7" t="str">
        <f t="shared" si="66"/>
        <v/>
      </c>
      <c r="N392" s="7" t="str">
        <f t="shared" si="67"/>
        <v/>
      </c>
      <c r="O392" s="7" t="str">
        <f t="shared" si="68"/>
        <v/>
      </c>
      <c r="P392" t="str">
        <f t="shared" si="69"/>
        <v/>
      </c>
      <c r="Q392" t="str">
        <f>IF(C392="","",ProcessUrl(P392,"GetTestResults"))</f>
        <v/>
      </c>
      <c r="R392" s="10" t="str">
        <f>IF(C392="","",JsProcess("JsonItem",JsProcess("JsonItem",Q392,"Passed"),"count"))</f>
        <v/>
      </c>
      <c r="S392" s="10" t="str">
        <f>IF(C392="","",JsProcess("JsonItem",JsProcess("JsonItem",Q392,"NotExecuted"),"count"))</f>
        <v/>
      </c>
    </row>
    <row r="393" spans="4:19" x14ac:dyDescent="0.25">
      <c r="D393" t="str">
        <f>IF(C393="","",VLOOKUP(A393,Projects!A:B,2,FALSE))</f>
        <v/>
      </c>
      <c r="E393" s="1" t="str">
        <f t="shared" si="60"/>
        <v/>
      </c>
      <c r="F393" t="str">
        <f t="shared" si="61"/>
        <v/>
      </c>
      <c r="G393" t="str">
        <f>IF(C393="","",ProcessUrl(E393,F393))</f>
        <v/>
      </c>
      <c r="H393" t="str">
        <f t="shared" si="62"/>
        <v/>
      </c>
      <c r="I393" t="str">
        <f t="shared" si="63"/>
        <v/>
      </c>
      <c r="J393" t="str">
        <f>IF(C393="","",ProcessUrl(H393,I393))</f>
        <v/>
      </c>
      <c r="K393" s="7" t="str">
        <f t="shared" si="64"/>
        <v/>
      </c>
      <c r="L393" s="7" t="str">
        <f t="shared" si="65"/>
        <v/>
      </c>
      <c r="M393" s="7" t="str">
        <f t="shared" si="66"/>
        <v/>
      </c>
      <c r="N393" s="7" t="str">
        <f t="shared" si="67"/>
        <v/>
      </c>
      <c r="O393" s="7" t="str">
        <f t="shared" si="68"/>
        <v/>
      </c>
      <c r="P393" t="str">
        <f t="shared" si="69"/>
        <v/>
      </c>
      <c r="Q393" t="str">
        <f>IF(C393="","",ProcessUrl(P393,"GetTestResults"))</f>
        <v/>
      </c>
      <c r="R393" s="10" t="str">
        <f>IF(C393="","",JsProcess("JsonItem",JsProcess("JsonItem",Q393,"Passed"),"count"))</f>
        <v/>
      </c>
      <c r="S393" s="10" t="str">
        <f>IF(C393="","",JsProcess("JsonItem",JsProcess("JsonItem",Q393,"NotExecuted"),"count"))</f>
        <v/>
      </c>
    </row>
    <row r="394" spans="4:19" x14ac:dyDescent="0.25">
      <c r="D394" t="str">
        <f>IF(C394="","",VLOOKUP(A394,Projects!A:B,2,FALSE))</f>
        <v/>
      </c>
      <c r="E394" s="1" t="str">
        <f t="shared" si="60"/>
        <v/>
      </c>
      <c r="F394" t="str">
        <f t="shared" si="61"/>
        <v/>
      </c>
      <c r="G394" t="str">
        <f>IF(C394="","",ProcessUrl(E394,F394))</f>
        <v/>
      </c>
      <c r="H394" t="str">
        <f t="shared" si="62"/>
        <v/>
      </c>
      <c r="I394" t="str">
        <f t="shared" si="63"/>
        <v/>
      </c>
      <c r="J394" t="str">
        <f>IF(C394="","",ProcessUrl(H394,I394))</f>
        <v/>
      </c>
      <c r="K394" s="7" t="str">
        <f t="shared" si="64"/>
        <v/>
      </c>
      <c r="L394" s="7" t="str">
        <f t="shared" si="65"/>
        <v/>
      </c>
      <c r="M394" s="7" t="str">
        <f t="shared" si="66"/>
        <v/>
      </c>
      <c r="N394" s="7" t="str">
        <f t="shared" si="67"/>
        <v/>
      </c>
      <c r="O394" s="7" t="str">
        <f t="shared" si="68"/>
        <v/>
      </c>
      <c r="P394" t="str">
        <f t="shared" si="69"/>
        <v/>
      </c>
      <c r="Q394" t="str">
        <f>IF(C394="","",ProcessUrl(P394,"GetTestResults"))</f>
        <v/>
      </c>
      <c r="R394" s="10" t="str">
        <f>IF(C394="","",JsProcess("JsonItem",JsProcess("JsonItem",Q394,"Passed"),"count"))</f>
        <v/>
      </c>
      <c r="S394" s="10" t="str">
        <f>IF(C394="","",JsProcess("JsonItem",JsProcess("JsonItem",Q394,"NotExecuted"),"count"))</f>
        <v/>
      </c>
    </row>
    <row r="395" spans="4:19" x14ac:dyDescent="0.25">
      <c r="D395" t="str">
        <f>IF(C395="","",VLOOKUP(A395,Projects!A:B,2,FALSE))</f>
        <v/>
      </c>
      <c r="E395" s="1" t="str">
        <f t="shared" si="60"/>
        <v/>
      </c>
      <c r="F395" t="str">
        <f t="shared" si="61"/>
        <v/>
      </c>
      <c r="G395" t="str">
        <f>IF(C395="","",ProcessUrl(E395,F395))</f>
        <v/>
      </c>
      <c r="H395" t="str">
        <f t="shared" si="62"/>
        <v/>
      </c>
      <c r="I395" t="str">
        <f t="shared" si="63"/>
        <v/>
      </c>
      <c r="J395" t="str">
        <f>IF(C395="","",ProcessUrl(H395,I395))</f>
        <v/>
      </c>
      <c r="K395" s="7" t="str">
        <f t="shared" si="64"/>
        <v/>
      </c>
      <c r="L395" s="7" t="str">
        <f t="shared" si="65"/>
        <v/>
      </c>
      <c r="M395" s="7" t="str">
        <f t="shared" si="66"/>
        <v/>
      </c>
      <c r="N395" s="7" t="str">
        <f t="shared" si="67"/>
        <v/>
      </c>
      <c r="O395" s="7" t="str">
        <f t="shared" si="68"/>
        <v/>
      </c>
      <c r="P395" t="str">
        <f t="shared" si="69"/>
        <v/>
      </c>
      <c r="Q395" t="str">
        <f>IF(C395="","",ProcessUrl(P395,"GetTestResults"))</f>
        <v/>
      </c>
      <c r="R395" s="10" t="str">
        <f>IF(C395="","",JsProcess("JsonItem",JsProcess("JsonItem",Q395,"Passed"),"count"))</f>
        <v/>
      </c>
      <c r="S395" s="10" t="str">
        <f>IF(C395="","",JsProcess("JsonItem",JsProcess("JsonItem",Q395,"NotExecuted"),"count"))</f>
        <v/>
      </c>
    </row>
    <row r="396" spans="4:19" x14ac:dyDescent="0.25">
      <c r="D396" t="str">
        <f>IF(C396="","",VLOOKUP(A396,Projects!A:B,2,FALSE))</f>
        <v/>
      </c>
      <c r="E396" s="1" t="str">
        <f t="shared" si="60"/>
        <v/>
      </c>
      <c r="F396" t="str">
        <f t="shared" si="61"/>
        <v/>
      </c>
      <c r="G396" t="str">
        <f>IF(C396="","",ProcessUrl(E396,F396))</f>
        <v/>
      </c>
      <c r="H396" t="str">
        <f t="shared" si="62"/>
        <v/>
      </c>
      <c r="I396" t="str">
        <f t="shared" si="63"/>
        <v/>
      </c>
      <c r="J396" t="str">
        <f>IF(C396="","",ProcessUrl(H396,I396))</f>
        <v/>
      </c>
      <c r="K396" s="7" t="str">
        <f t="shared" si="64"/>
        <v/>
      </c>
      <c r="L396" s="7" t="str">
        <f t="shared" si="65"/>
        <v/>
      </c>
      <c r="M396" s="7" t="str">
        <f t="shared" si="66"/>
        <v/>
      </c>
      <c r="N396" s="7" t="str">
        <f t="shared" si="67"/>
        <v/>
      </c>
      <c r="O396" s="7" t="str">
        <f t="shared" si="68"/>
        <v/>
      </c>
      <c r="P396" t="str">
        <f t="shared" si="69"/>
        <v/>
      </c>
      <c r="Q396" t="str">
        <f>IF(C396="","",ProcessUrl(P396,"GetTestResults"))</f>
        <v/>
      </c>
      <c r="R396" s="10" t="str">
        <f>IF(C396="","",JsProcess("JsonItem",JsProcess("JsonItem",Q396,"Passed"),"count"))</f>
        <v/>
      </c>
      <c r="S396" s="10" t="str">
        <f>IF(C396="","",JsProcess("JsonItem",JsProcess("JsonItem",Q396,"NotExecuted"),"count"))</f>
        <v/>
      </c>
    </row>
    <row r="397" spans="4:19" x14ac:dyDescent="0.25">
      <c r="D397" t="str">
        <f>IF(C397="","",VLOOKUP(A397,Projects!A:B,2,FALSE))</f>
        <v/>
      </c>
      <c r="E397" s="1" t="str">
        <f t="shared" si="60"/>
        <v/>
      </c>
      <c r="F397" t="str">
        <f t="shared" si="61"/>
        <v/>
      </c>
      <c r="G397" t="str">
        <f>IF(C397="","",ProcessUrl(E397,F397))</f>
        <v/>
      </c>
      <c r="H397" t="str">
        <f t="shared" si="62"/>
        <v/>
      </c>
      <c r="I397" t="str">
        <f t="shared" si="63"/>
        <v/>
      </c>
      <c r="J397" t="str">
        <f>IF(C397="","",ProcessUrl(H397,I397))</f>
        <v/>
      </c>
      <c r="K397" s="7" t="str">
        <f t="shared" si="64"/>
        <v/>
      </c>
      <c r="L397" s="7" t="str">
        <f t="shared" si="65"/>
        <v/>
      </c>
      <c r="M397" s="7" t="str">
        <f t="shared" si="66"/>
        <v/>
      </c>
      <c r="N397" s="7" t="str">
        <f t="shared" si="67"/>
        <v/>
      </c>
      <c r="O397" s="7" t="str">
        <f t="shared" si="68"/>
        <v/>
      </c>
      <c r="P397" t="str">
        <f t="shared" si="69"/>
        <v/>
      </c>
      <c r="Q397" t="str">
        <f>IF(C397="","",ProcessUrl(P397,"GetTestResults"))</f>
        <v/>
      </c>
      <c r="R397" s="10" t="str">
        <f>IF(C397="","",JsProcess("JsonItem",JsProcess("JsonItem",Q397,"Passed"),"count"))</f>
        <v/>
      </c>
      <c r="S397" s="10" t="str">
        <f>IF(C397="","",JsProcess("JsonItem",JsProcess("JsonItem",Q397,"NotExecuted"),"count"))</f>
        <v/>
      </c>
    </row>
    <row r="398" spans="4:19" x14ac:dyDescent="0.25">
      <c r="D398" t="str">
        <f>IF(C398="","",VLOOKUP(A398,Projects!A:B,2,FALSE))</f>
        <v/>
      </c>
      <c r="E398" s="1" t="str">
        <f t="shared" si="60"/>
        <v/>
      </c>
      <c r="F398" t="str">
        <f t="shared" si="61"/>
        <v/>
      </c>
      <c r="G398" t="str">
        <f>IF(C398="","",ProcessUrl(E398,F398))</f>
        <v/>
      </c>
      <c r="H398" t="str">
        <f t="shared" si="62"/>
        <v/>
      </c>
      <c r="I398" t="str">
        <f t="shared" si="63"/>
        <v/>
      </c>
      <c r="J398" t="str">
        <f>IF(C398="","",ProcessUrl(H398,I398))</f>
        <v/>
      </c>
      <c r="K398" s="7" t="str">
        <f t="shared" si="64"/>
        <v/>
      </c>
      <c r="L398" s="7" t="str">
        <f t="shared" si="65"/>
        <v/>
      </c>
      <c r="M398" s="7" t="str">
        <f t="shared" si="66"/>
        <v/>
      </c>
      <c r="N398" s="7" t="str">
        <f t="shared" si="67"/>
        <v/>
      </c>
      <c r="O398" s="7" t="str">
        <f t="shared" si="68"/>
        <v/>
      </c>
      <c r="P398" t="str">
        <f t="shared" si="69"/>
        <v/>
      </c>
      <c r="Q398" t="str">
        <f>IF(C398="","",ProcessUrl(P398,"GetTestResults"))</f>
        <v/>
      </c>
      <c r="R398" s="10" t="str">
        <f>IF(C398="","",JsProcess("JsonItem",JsProcess("JsonItem",Q398,"Passed"),"count"))</f>
        <v/>
      </c>
      <c r="S398" s="10" t="str">
        <f>IF(C398="","",JsProcess("JsonItem",JsProcess("JsonItem",Q398,"NotExecuted"),"count"))</f>
        <v/>
      </c>
    </row>
    <row r="399" spans="4:19" x14ac:dyDescent="0.25">
      <c r="D399" t="str">
        <f>IF(C399="","",VLOOKUP(A399,Projects!A:B,2,FALSE))</f>
        <v/>
      </c>
      <c r="E399" s="1" t="str">
        <f t="shared" si="60"/>
        <v/>
      </c>
      <c r="F399" t="str">
        <f t="shared" si="61"/>
        <v/>
      </c>
      <c r="G399" t="str">
        <f>IF(C399="","",ProcessUrl(E399,F399))</f>
        <v/>
      </c>
      <c r="H399" t="str">
        <f t="shared" si="62"/>
        <v/>
      </c>
      <c r="I399" t="str">
        <f t="shared" si="63"/>
        <v/>
      </c>
      <c r="J399" t="str">
        <f>IF(C399="","",ProcessUrl(H399,I399))</f>
        <v/>
      </c>
      <c r="K399" s="7" t="str">
        <f t="shared" si="64"/>
        <v/>
      </c>
      <c r="L399" s="7" t="str">
        <f t="shared" si="65"/>
        <v/>
      </c>
      <c r="M399" s="7" t="str">
        <f t="shared" si="66"/>
        <v/>
      </c>
      <c r="N399" s="7" t="str">
        <f t="shared" si="67"/>
        <v/>
      </c>
      <c r="O399" s="7" t="str">
        <f t="shared" si="68"/>
        <v/>
      </c>
      <c r="P399" t="str">
        <f t="shared" si="69"/>
        <v/>
      </c>
      <c r="Q399" t="str">
        <f>IF(C399="","",ProcessUrl(P399,"GetTestResults"))</f>
        <v/>
      </c>
      <c r="R399" s="10" t="str">
        <f>IF(C399="","",JsProcess("JsonItem",JsProcess("JsonItem",Q399,"Passed"),"count"))</f>
        <v/>
      </c>
      <c r="S399" s="10" t="str">
        <f>IF(C399="","",JsProcess("JsonItem",JsProcess("JsonItem",Q399,"NotExecuted"),"count"))</f>
        <v/>
      </c>
    </row>
    <row r="400" spans="4:19" x14ac:dyDescent="0.25">
      <c r="D400" t="str">
        <f>IF(C400="","",VLOOKUP(A400,Projects!A:B,2,FALSE))</f>
        <v/>
      </c>
      <c r="E400" s="1" t="str">
        <f t="shared" si="60"/>
        <v/>
      </c>
      <c r="F400" t="str">
        <f t="shared" si="61"/>
        <v/>
      </c>
      <c r="G400" t="str">
        <f>IF(C400="","",ProcessUrl(E400,F400))</f>
        <v/>
      </c>
      <c r="H400" t="str">
        <f t="shared" si="62"/>
        <v/>
      </c>
      <c r="I400" t="str">
        <f t="shared" si="63"/>
        <v/>
      </c>
      <c r="J400" t="str">
        <f>IF(C400="","",ProcessUrl(H400,I400))</f>
        <v/>
      </c>
      <c r="K400" s="7" t="str">
        <f t="shared" si="64"/>
        <v/>
      </c>
      <c r="L400" s="7" t="str">
        <f t="shared" si="65"/>
        <v/>
      </c>
      <c r="M400" s="7" t="str">
        <f t="shared" si="66"/>
        <v/>
      </c>
      <c r="N400" s="7" t="str">
        <f t="shared" si="67"/>
        <v/>
      </c>
      <c r="O400" s="7" t="str">
        <f t="shared" si="68"/>
        <v/>
      </c>
      <c r="P400" t="str">
        <f t="shared" si="69"/>
        <v/>
      </c>
      <c r="Q400" t="str">
        <f>IF(C400="","",ProcessUrl(P400,"GetTestResults"))</f>
        <v/>
      </c>
      <c r="R400" s="10" t="str">
        <f>IF(C400="","",JsProcess("JsonItem",JsProcess("JsonItem",Q400,"Passed"),"count"))</f>
        <v/>
      </c>
      <c r="S400" s="10" t="str">
        <f>IF(C400="","",JsProcess("JsonItem",JsProcess("JsonItem",Q400,"NotExecuted"),"count"))</f>
        <v/>
      </c>
    </row>
    <row r="401" spans="4:19" x14ac:dyDescent="0.25">
      <c r="D401" t="str">
        <f>IF(C401="","",VLOOKUP(A401,Projects!A:B,2,FALSE))</f>
        <v/>
      </c>
      <c r="E401" s="1" t="str">
        <f t="shared" si="60"/>
        <v/>
      </c>
      <c r="F401" t="str">
        <f t="shared" si="61"/>
        <v/>
      </c>
      <c r="G401" t="str">
        <f>IF(C401="","",ProcessUrl(E401,F401))</f>
        <v/>
      </c>
      <c r="H401" t="str">
        <f t="shared" si="62"/>
        <v/>
      </c>
      <c r="I401" t="str">
        <f t="shared" si="63"/>
        <v/>
      </c>
      <c r="J401" t="str">
        <f>IF(C401="","",ProcessUrl(H401,I401))</f>
        <v/>
      </c>
      <c r="K401" s="7" t="str">
        <f t="shared" si="64"/>
        <v/>
      </c>
      <c r="L401" s="7" t="str">
        <f t="shared" si="65"/>
        <v/>
      </c>
      <c r="M401" s="7" t="str">
        <f t="shared" si="66"/>
        <v/>
      </c>
      <c r="N401" s="7" t="str">
        <f t="shared" si="67"/>
        <v/>
      </c>
      <c r="O401" s="7" t="str">
        <f t="shared" si="68"/>
        <v/>
      </c>
      <c r="P401" t="str">
        <f t="shared" si="69"/>
        <v/>
      </c>
      <c r="Q401" t="str">
        <f>IF(C401="","",ProcessUrl(P401,"GetTestResults"))</f>
        <v/>
      </c>
      <c r="R401" s="10" t="str">
        <f>IF(C401="","",JsProcess("JsonItem",JsProcess("JsonItem",Q401,"Passed"),"count"))</f>
        <v/>
      </c>
      <c r="S401" s="10" t="str">
        <f>IF(C401="","",JsProcess("JsonItem",JsProcess("JsonItem",Q401,"NotExecuted"),"count"))</f>
        <v/>
      </c>
    </row>
    <row r="402" spans="4:19" x14ac:dyDescent="0.25">
      <c r="D402" t="str">
        <f>IF(C402="","",VLOOKUP(A402,Projects!A:B,2,FALSE))</f>
        <v/>
      </c>
      <c r="E402" s="1" t="str">
        <f t="shared" si="60"/>
        <v/>
      </c>
      <c r="F402" t="str">
        <f t="shared" si="61"/>
        <v/>
      </c>
      <c r="G402" t="str">
        <f>IF(C402="","",ProcessUrl(E402,F402))</f>
        <v/>
      </c>
      <c r="H402" t="str">
        <f t="shared" si="62"/>
        <v/>
      </c>
      <c r="I402" t="str">
        <f t="shared" si="63"/>
        <v/>
      </c>
      <c r="J402" t="str">
        <f>IF(C402="","",ProcessUrl(H402,I402))</f>
        <v/>
      </c>
      <c r="K402" s="7" t="str">
        <f t="shared" si="64"/>
        <v/>
      </c>
      <c r="L402" s="7" t="str">
        <f t="shared" si="65"/>
        <v/>
      </c>
      <c r="M402" s="7" t="str">
        <f t="shared" si="66"/>
        <v/>
      </c>
      <c r="N402" s="7" t="str">
        <f t="shared" si="67"/>
        <v/>
      </c>
      <c r="O402" s="7" t="str">
        <f t="shared" si="68"/>
        <v/>
      </c>
      <c r="P402" t="str">
        <f t="shared" si="69"/>
        <v/>
      </c>
      <c r="Q402" t="str">
        <f>IF(C402="","",ProcessUrl(P402,"GetTestResults"))</f>
        <v/>
      </c>
      <c r="R402" s="10" t="str">
        <f>IF(C402="","",JsProcess("JsonItem",JsProcess("JsonItem",Q402,"Passed"),"count"))</f>
        <v/>
      </c>
      <c r="S402" s="10" t="str">
        <f>IF(C402="","",JsProcess("JsonItem",JsProcess("JsonItem",Q402,"NotExecuted"),"count"))</f>
        <v/>
      </c>
    </row>
    <row r="403" spans="4:19" x14ac:dyDescent="0.25">
      <c r="D403" t="str">
        <f>IF(C403="","",VLOOKUP(A403,Projects!A:B,2,FALSE))</f>
        <v/>
      </c>
      <c r="E403" s="1" t="str">
        <f t="shared" si="60"/>
        <v/>
      </c>
      <c r="F403" t="str">
        <f t="shared" si="61"/>
        <v/>
      </c>
      <c r="G403" t="str">
        <f>IF(C403="","",ProcessUrl(E403,F403))</f>
        <v/>
      </c>
      <c r="H403" t="str">
        <f t="shared" si="62"/>
        <v/>
      </c>
      <c r="I403" t="str">
        <f t="shared" si="63"/>
        <v/>
      </c>
      <c r="J403" t="str">
        <f>IF(C403="","",ProcessUrl(H403,I403))</f>
        <v/>
      </c>
      <c r="K403" s="7" t="str">
        <f t="shared" si="64"/>
        <v/>
      </c>
      <c r="L403" s="7" t="str">
        <f t="shared" si="65"/>
        <v/>
      </c>
      <c r="M403" s="7" t="str">
        <f t="shared" si="66"/>
        <v/>
      </c>
      <c r="N403" s="7" t="str">
        <f t="shared" si="67"/>
        <v/>
      </c>
      <c r="O403" s="7" t="str">
        <f t="shared" si="68"/>
        <v/>
      </c>
      <c r="P403" t="str">
        <f t="shared" si="69"/>
        <v/>
      </c>
      <c r="Q403" t="str">
        <f>IF(C403="","",ProcessUrl(P403,"GetTestResults"))</f>
        <v/>
      </c>
      <c r="R403" s="10" t="str">
        <f>IF(C403="","",JsProcess("JsonItem",JsProcess("JsonItem",Q403,"Passed"),"count"))</f>
        <v/>
      </c>
      <c r="S403" s="10" t="str">
        <f>IF(C403="","",JsProcess("JsonItem",JsProcess("JsonItem",Q403,"NotExecuted"),"count"))</f>
        <v/>
      </c>
    </row>
    <row r="404" spans="4:19" x14ac:dyDescent="0.25">
      <c r="D404" t="str">
        <f>IF(C404="","",VLOOKUP(A404,Projects!A:B,2,FALSE))</f>
        <v/>
      </c>
      <c r="E404" s="1" t="str">
        <f t="shared" si="60"/>
        <v/>
      </c>
      <c r="F404" t="str">
        <f t="shared" si="61"/>
        <v/>
      </c>
      <c r="G404" t="str">
        <f>IF(C404="","",ProcessUrl(E404,F404))</f>
        <v/>
      </c>
      <c r="H404" t="str">
        <f t="shared" si="62"/>
        <v/>
      </c>
      <c r="I404" t="str">
        <f t="shared" si="63"/>
        <v/>
      </c>
      <c r="J404" t="str">
        <f>IF(C404="","",ProcessUrl(H404,I404))</f>
        <v/>
      </c>
      <c r="K404" s="7" t="str">
        <f t="shared" si="64"/>
        <v/>
      </c>
      <c r="L404" s="7" t="str">
        <f t="shared" si="65"/>
        <v/>
      </c>
      <c r="M404" s="7" t="str">
        <f t="shared" si="66"/>
        <v/>
      </c>
      <c r="N404" s="7" t="str">
        <f t="shared" si="67"/>
        <v/>
      </c>
      <c r="O404" s="7" t="str">
        <f t="shared" si="68"/>
        <v/>
      </c>
      <c r="P404" t="str">
        <f t="shared" si="69"/>
        <v/>
      </c>
      <c r="Q404" t="str">
        <f>IF(C404="","",ProcessUrl(P404,"GetTestResults"))</f>
        <v/>
      </c>
      <c r="R404" s="10" t="str">
        <f>IF(C404="","",JsProcess("JsonItem",JsProcess("JsonItem",Q404,"Passed"),"count"))</f>
        <v/>
      </c>
      <c r="S404" s="10" t="str">
        <f>IF(C404="","",JsProcess("JsonItem",JsProcess("JsonItem",Q404,"NotExecuted"),"count"))</f>
        <v/>
      </c>
    </row>
    <row r="405" spans="4:19" x14ac:dyDescent="0.25">
      <c r="D405" t="str">
        <f>IF(C405="","",VLOOKUP(A405,Projects!A:B,2,FALSE))</f>
        <v/>
      </c>
      <c r="E405" s="1" t="str">
        <f t="shared" si="60"/>
        <v/>
      </c>
      <c r="F405" t="str">
        <f t="shared" si="61"/>
        <v/>
      </c>
      <c r="G405" t="str">
        <f>IF(C405="","",ProcessUrl(E405,F405))</f>
        <v/>
      </c>
      <c r="H405" t="str">
        <f t="shared" si="62"/>
        <v/>
      </c>
      <c r="I405" t="str">
        <f t="shared" si="63"/>
        <v/>
      </c>
      <c r="J405" t="str">
        <f>IF(C405="","",ProcessUrl(H405,I405))</f>
        <v/>
      </c>
      <c r="K405" s="7" t="str">
        <f t="shared" si="64"/>
        <v/>
      </c>
      <c r="L405" s="7" t="str">
        <f t="shared" si="65"/>
        <v/>
      </c>
      <c r="M405" s="7" t="str">
        <f t="shared" si="66"/>
        <v/>
      </c>
      <c r="N405" s="7" t="str">
        <f t="shared" si="67"/>
        <v/>
      </c>
      <c r="O405" s="7" t="str">
        <f t="shared" si="68"/>
        <v/>
      </c>
      <c r="P405" t="str">
        <f t="shared" si="69"/>
        <v/>
      </c>
      <c r="Q405" t="str">
        <f>IF(C405="","",ProcessUrl(P405,"GetTestResults"))</f>
        <v/>
      </c>
      <c r="R405" s="10" t="str">
        <f>IF(C405="","",JsProcess("JsonItem",JsProcess("JsonItem",Q405,"Passed"),"count"))</f>
        <v/>
      </c>
      <c r="S405" s="10" t="str">
        <f>IF(C405="","",JsProcess("JsonItem",JsProcess("JsonItem",Q405,"NotExecuted"),"count"))</f>
        <v/>
      </c>
    </row>
    <row r="406" spans="4:19" x14ac:dyDescent="0.25">
      <c r="D406" t="str">
        <f>IF(C406="","",VLOOKUP(A406,Projects!A:B,2,FALSE))</f>
        <v/>
      </c>
      <c r="E406" s="1" t="str">
        <f t="shared" si="60"/>
        <v/>
      </c>
      <c r="F406" t="str">
        <f t="shared" si="61"/>
        <v/>
      </c>
      <c r="G406" t="str">
        <f>IF(C406="","",ProcessUrl(E406,F406))</f>
        <v/>
      </c>
      <c r="H406" t="str">
        <f t="shared" si="62"/>
        <v/>
      </c>
      <c r="I406" t="str">
        <f t="shared" si="63"/>
        <v/>
      </c>
      <c r="J406" t="str">
        <f>IF(C406="","",ProcessUrl(H406,I406))</f>
        <v/>
      </c>
      <c r="K406" s="7" t="str">
        <f t="shared" si="64"/>
        <v/>
      </c>
      <c r="L406" s="7" t="str">
        <f t="shared" si="65"/>
        <v/>
      </c>
      <c r="M406" s="7" t="str">
        <f t="shared" si="66"/>
        <v/>
      </c>
      <c r="N406" s="7" t="str">
        <f t="shared" si="67"/>
        <v/>
      </c>
      <c r="O406" s="7" t="str">
        <f t="shared" si="68"/>
        <v/>
      </c>
      <c r="P406" t="str">
        <f t="shared" si="69"/>
        <v/>
      </c>
      <c r="Q406" t="str">
        <f>IF(C406="","",ProcessUrl(P406,"GetTestResults"))</f>
        <v/>
      </c>
      <c r="R406" s="10" t="str">
        <f>IF(C406="","",JsProcess("JsonItem",JsProcess("JsonItem",Q406,"Passed"),"count"))</f>
        <v/>
      </c>
      <c r="S406" s="10" t="str">
        <f>IF(C406="","",JsProcess("JsonItem",JsProcess("JsonItem",Q406,"NotExecuted"),"count"))</f>
        <v/>
      </c>
    </row>
    <row r="407" spans="4:19" x14ac:dyDescent="0.25">
      <c r="D407" t="str">
        <f>IF(C407="","",VLOOKUP(A407,Projects!A:B,2,FALSE))</f>
        <v/>
      </c>
      <c r="E407" s="1" t="str">
        <f t="shared" si="60"/>
        <v/>
      </c>
      <c r="F407" t="str">
        <f t="shared" si="61"/>
        <v/>
      </c>
      <c r="G407" t="str">
        <f>IF(C407="","",ProcessUrl(E407,F407))</f>
        <v/>
      </c>
      <c r="H407" t="str">
        <f t="shared" si="62"/>
        <v/>
      </c>
      <c r="I407" t="str">
        <f t="shared" si="63"/>
        <v/>
      </c>
      <c r="J407" t="str">
        <f>IF(C407="","",ProcessUrl(H407,I407))</f>
        <v/>
      </c>
      <c r="K407" s="7" t="str">
        <f t="shared" si="64"/>
        <v/>
      </c>
      <c r="L407" s="7" t="str">
        <f t="shared" si="65"/>
        <v/>
      </c>
      <c r="M407" s="7" t="str">
        <f t="shared" si="66"/>
        <v/>
      </c>
      <c r="N407" s="7" t="str">
        <f t="shared" si="67"/>
        <v/>
      </c>
      <c r="O407" s="7" t="str">
        <f t="shared" si="68"/>
        <v/>
      </c>
      <c r="P407" t="str">
        <f t="shared" si="69"/>
        <v/>
      </c>
      <c r="Q407" t="str">
        <f>IF(C407="","",ProcessUrl(P407,"GetTestResults"))</f>
        <v/>
      </c>
      <c r="R407" s="10" t="str">
        <f>IF(C407="","",JsProcess("JsonItem",JsProcess("JsonItem",Q407,"Passed"),"count"))</f>
        <v/>
      </c>
      <c r="S407" s="10" t="str">
        <f>IF(C407="","",JsProcess("JsonItem",JsProcess("JsonItem",Q407,"NotExecuted"),"count"))</f>
        <v/>
      </c>
    </row>
    <row r="408" spans="4:19" x14ac:dyDescent="0.25">
      <c r="D408" t="str">
        <f>IF(C408="","",VLOOKUP(A408,Projects!A:B,2,FALSE))</f>
        <v/>
      </c>
      <c r="E408" s="1" t="str">
        <f t="shared" si="60"/>
        <v/>
      </c>
      <c r="F408" t="str">
        <f t="shared" si="61"/>
        <v/>
      </c>
      <c r="G408" t="str">
        <f>IF(C408="","",ProcessUrl(E408,F408))</f>
        <v/>
      </c>
      <c r="H408" t="str">
        <f t="shared" si="62"/>
        <v/>
      </c>
      <c r="I408" t="str">
        <f t="shared" si="63"/>
        <v/>
      </c>
      <c r="J408" t="str">
        <f>IF(C408="","",ProcessUrl(H408,I408))</f>
        <v/>
      </c>
      <c r="K408" s="7" t="str">
        <f t="shared" si="64"/>
        <v/>
      </c>
      <c r="L408" s="7" t="str">
        <f t="shared" si="65"/>
        <v/>
      </c>
      <c r="M408" s="7" t="str">
        <f t="shared" si="66"/>
        <v/>
      </c>
      <c r="N408" s="7" t="str">
        <f t="shared" si="67"/>
        <v/>
      </c>
      <c r="O408" s="7" t="str">
        <f t="shared" si="68"/>
        <v/>
      </c>
      <c r="P408" t="str">
        <f t="shared" si="69"/>
        <v/>
      </c>
      <c r="Q408" t="str">
        <f>IF(C408="","",ProcessUrl(P408,"GetTestResults"))</f>
        <v/>
      </c>
      <c r="R408" s="10" t="str">
        <f>IF(C408="","",JsProcess("JsonItem",JsProcess("JsonItem",Q408,"Passed"),"count"))</f>
        <v/>
      </c>
      <c r="S408" s="10" t="str">
        <f>IF(C408="","",JsProcess("JsonItem",JsProcess("JsonItem",Q408,"NotExecuted"),"count"))</f>
        <v/>
      </c>
    </row>
    <row r="409" spans="4:19" x14ac:dyDescent="0.25">
      <c r="D409" t="str">
        <f>IF(C409="","",VLOOKUP(A409,Projects!A:B,2,FALSE))</f>
        <v/>
      </c>
      <c r="E409" s="1" t="str">
        <f t="shared" si="60"/>
        <v/>
      </c>
      <c r="F409" t="str">
        <f t="shared" si="61"/>
        <v/>
      </c>
      <c r="G409" t="str">
        <f>IF(C409="","",ProcessUrl(E409,F409))</f>
        <v/>
      </c>
      <c r="H409" t="str">
        <f t="shared" si="62"/>
        <v/>
      </c>
      <c r="I409" t="str">
        <f t="shared" si="63"/>
        <v/>
      </c>
      <c r="J409" t="str">
        <f>IF(C409="","",ProcessUrl(H409,I409))</f>
        <v/>
      </c>
      <c r="K409" s="7" t="str">
        <f t="shared" si="64"/>
        <v/>
      </c>
      <c r="L409" s="7" t="str">
        <f t="shared" si="65"/>
        <v/>
      </c>
      <c r="M409" s="7" t="str">
        <f t="shared" si="66"/>
        <v/>
      </c>
      <c r="N409" s="7" t="str">
        <f t="shared" si="67"/>
        <v/>
      </c>
      <c r="O409" s="7" t="str">
        <f t="shared" si="68"/>
        <v/>
      </c>
      <c r="P409" t="str">
        <f t="shared" si="69"/>
        <v/>
      </c>
      <c r="Q409" t="str">
        <f>IF(C409="","",ProcessUrl(P409,"GetTestResults"))</f>
        <v/>
      </c>
      <c r="R409" s="10" t="str">
        <f>IF(C409="","",JsProcess("JsonItem",JsProcess("JsonItem",Q409,"Passed"),"count"))</f>
        <v/>
      </c>
      <c r="S409" s="10" t="str">
        <f>IF(C409="","",JsProcess("JsonItem",JsProcess("JsonItem",Q409,"NotExecuted"),"count"))</f>
        <v/>
      </c>
    </row>
    <row r="410" spans="4:19" x14ac:dyDescent="0.25">
      <c r="D410" t="str">
        <f>IF(C410="","",VLOOKUP(A410,Projects!A:B,2,FALSE))</f>
        <v/>
      </c>
      <c r="E410" s="1" t="str">
        <f t="shared" si="60"/>
        <v/>
      </c>
      <c r="F410" t="str">
        <f t="shared" si="61"/>
        <v/>
      </c>
      <c r="G410" t="str">
        <f>IF(C410="","",ProcessUrl(E410,F410))</f>
        <v/>
      </c>
      <c r="H410" t="str">
        <f t="shared" si="62"/>
        <v/>
      </c>
      <c r="I410" t="str">
        <f t="shared" si="63"/>
        <v/>
      </c>
      <c r="J410" t="str">
        <f>IF(C410="","",ProcessUrl(H410,I410))</f>
        <v/>
      </c>
      <c r="K410" s="7" t="str">
        <f t="shared" si="64"/>
        <v/>
      </c>
      <c r="L410" s="7" t="str">
        <f t="shared" si="65"/>
        <v/>
      </c>
      <c r="M410" s="7" t="str">
        <f t="shared" si="66"/>
        <v/>
      </c>
      <c r="N410" s="7" t="str">
        <f t="shared" si="67"/>
        <v/>
      </c>
      <c r="O410" s="7" t="str">
        <f t="shared" si="68"/>
        <v/>
      </c>
      <c r="P410" t="str">
        <f t="shared" si="69"/>
        <v/>
      </c>
      <c r="Q410" t="str">
        <f>IF(C410="","",ProcessUrl(P410,"GetTestResults"))</f>
        <v/>
      </c>
      <c r="R410" s="10" t="str">
        <f>IF(C410="","",JsProcess("JsonItem",JsProcess("JsonItem",Q410,"Passed"),"count"))</f>
        <v/>
      </c>
      <c r="S410" s="10" t="str">
        <f>IF(C410="","",JsProcess("JsonItem",JsProcess("JsonItem",Q410,"NotExecuted"),"count"))</f>
        <v/>
      </c>
    </row>
    <row r="411" spans="4:19" x14ac:dyDescent="0.25">
      <c r="D411" t="str">
        <f>IF(C411="","",VLOOKUP(A411,Projects!A:B,2,FALSE))</f>
        <v/>
      </c>
      <c r="E411" s="1" t="str">
        <f t="shared" si="60"/>
        <v/>
      </c>
      <c r="F411" t="str">
        <f t="shared" si="61"/>
        <v/>
      </c>
      <c r="G411" t="str">
        <f>IF(C411="","",ProcessUrl(E411,F411))</f>
        <v/>
      </c>
      <c r="H411" t="str">
        <f t="shared" si="62"/>
        <v/>
      </c>
      <c r="I411" t="str">
        <f t="shared" si="63"/>
        <v/>
      </c>
      <c r="J411" t="str">
        <f>IF(C411="","",ProcessUrl(H411,I411))</f>
        <v/>
      </c>
      <c r="K411" s="7" t="str">
        <f t="shared" si="64"/>
        <v/>
      </c>
      <c r="L411" s="7" t="str">
        <f t="shared" si="65"/>
        <v/>
      </c>
      <c r="M411" s="7" t="str">
        <f t="shared" si="66"/>
        <v/>
      </c>
      <c r="N411" s="7" t="str">
        <f t="shared" si="67"/>
        <v/>
      </c>
      <c r="O411" s="7" t="str">
        <f t="shared" si="68"/>
        <v/>
      </c>
      <c r="P411" t="str">
        <f t="shared" si="69"/>
        <v/>
      </c>
      <c r="Q411" t="str">
        <f>IF(C411="","",ProcessUrl(P411,"GetTestResults"))</f>
        <v/>
      </c>
      <c r="R411" s="10" t="str">
        <f>IF(C411="","",JsProcess("JsonItem",JsProcess("JsonItem",Q411,"Passed"),"count"))</f>
        <v/>
      </c>
      <c r="S411" s="10" t="str">
        <f>IF(C411="","",JsProcess("JsonItem",JsProcess("JsonItem",Q411,"NotExecuted"),"count"))</f>
        <v/>
      </c>
    </row>
    <row r="412" spans="4:19" x14ac:dyDescent="0.25">
      <c r="D412" t="str">
        <f>IF(C412="","",VLOOKUP(A412,Projects!A:B,2,FALSE))</f>
        <v/>
      </c>
      <c r="E412" s="1" t="str">
        <f t="shared" si="60"/>
        <v/>
      </c>
      <c r="F412" t="str">
        <f t="shared" si="61"/>
        <v/>
      </c>
      <c r="G412" t="str">
        <f>IF(C412="","",ProcessUrl(E412,F412))</f>
        <v/>
      </c>
      <c r="H412" t="str">
        <f t="shared" si="62"/>
        <v/>
      </c>
      <c r="I412" t="str">
        <f t="shared" si="63"/>
        <v/>
      </c>
      <c r="J412" t="str">
        <f>IF(C412="","",ProcessUrl(H412,I412))</f>
        <v/>
      </c>
      <c r="K412" s="7" t="str">
        <f t="shared" si="64"/>
        <v/>
      </c>
      <c r="L412" s="7" t="str">
        <f t="shared" si="65"/>
        <v/>
      </c>
      <c r="M412" s="7" t="str">
        <f t="shared" si="66"/>
        <v/>
      </c>
      <c r="N412" s="7" t="str">
        <f t="shared" si="67"/>
        <v/>
      </c>
      <c r="O412" s="7" t="str">
        <f t="shared" si="68"/>
        <v/>
      </c>
      <c r="P412" t="str">
        <f t="shared" si="69"/>
        <v/>
      </c>
      <c r="Q412" t="str">
        <f>IF(C412="","",ProcessUrl(P412,"GetTestResults"))</f>
        <v/>
      </c>
      <c r="R412" s="10" t="str">
        <f>IF(C412="","",JsProcess("JsonItem",JsProcess("JsonItem",Q412,"Passed"),"count"))</f>
        <v/>
      </c>
      <c r="S412" s="10" t="str">
        <f>IF(C412="","",JsProcess("JsonItem",JsProcess("JsonItem",Q412,"NotExecuted"),"count"))</f>
        <v/>
      </c>
    </row>
    <row r="413" spans="4:19" x14ac:dyDescent="0.25">
      <c r="D413" t="str">
        <f>IF(C413="","",VLOOKUP(A413,Projects!A:B,2,FALSE))</f>
        <v/>
      </c>
      <c r="E413" s="1" t="str">
        <f t="shared" si="60"/>
        <v/>
      </c>
      <c r="F413" t="str">
        <f t="shared" si="61"/>
        <v/>
      </c>
      <c r="G413" t="str">
        <f>IF(C413="","",ProcessUrl(E413,F413))</f>
        <v/>
      </c>
      <c r="H413" t="str">
        <f t="shared" si="62"/>
        <v/>
      </c>
      <c r="I413" t="str">
        <f t="shared" si="63"/>
        <v/>
      </c>
      <c r="J413" t="str">
        <f>IF(C413="","",ProcessUrl(H413,I413))</f>
        <v/>
      </c>
      <c r="K413" s="7" t="str">
        <f t="shared" si="64"/>
        <v/>
      </c>
      <c r="L413" s="7" t="str">
        <f t="shared" si="65"/>
        <v/>
      </c>
      <c r="M413" s="7" t="str">
        <f t="shared" si="66"/>
        <v/>
      </c>
      <c r="N413" s="7" t="str">
        <f t="shared" si="67"/>
        <v/>
      </c>
      <c r="O413" s="7" t="str">
        <f t="shared" si="68"/>
        <v/>
      </c>
      <c r="P413" t="str">
        <f t="shared" si="69"/>
        <v/>
      </c>
      <c r="Q413" t="str">
        <f>IF(C413="","",ProcessUrl(P413,"GetTestResults"))</f>
        <v/>
      </c>
      <c r="R413" s="10" t="str">
        <f>IF(C413="","",JsProcess("JsonItem",JsProcess("JsonItem",Q413,"Passed"),"count"))</f>
        <v/>
      </c>
      <c r="S413" s="10" t="str">
        <f>IF(C413="","",JsProcess("JsonItem",JsProcess("JsonItem",Q413,"NotExecuted"),"count"))</f>
        <v/>
      </c>
    </row>
    <row r="414" spans="4:19" x14ac:dyDescent="0.25">
      <c r="D414" t="str">
        <f>IF(C414="","",VLOOKUP(A414,Projects!A:B,2,FALSE))</f>
        <v/>
      </c>
      <c r="E414" s="1" t="str">
        <f t="shared" si="60"/>
        <v/>
      </c>
      <c r="F414" t="str">
        <f t="shared" si="61"/>
        <v/>
      </c>
      <c r="G414" t="str">
        <f>IF(C414="","",ProcessUrl(E414,F414))</f>
        <v/>
      </c>
      <c r="H414" t="str">
        <f t="shared" si="62"/>
        <v/>
      </c>
      <c r="I414" t="str">
        <f t="shared" si="63"/>
        <v/>
      </c>
      <c r="J414" t="str">
        <f>IF(C414="","",ProcessUrl(H414,I414))</f>
        <v/>
      </c>
      <c r="K414" s="7" t="str">
        <f t="shared" si="64"/>
        <v/>
      </c>
      <c r="L414" s="7" t="str">
        <f t="shared" si="65"/>
        <v/>
      </c>
      <c r="M414" s="7" t="str">
        <f t="shared" si="66"/>
        <v/>
      </c>
      <c r="N414" s="7" t="str">
        <f t="shared" si="67"/>
        <v/>
      </c>
      <c r="O414" s="7" t="str">
        <f t="shared" si="68"/>
        <v/>
      </c>
      <c r="P414" t="str">
        <f t="shared" si="69"/>
        <v/>
      </c>
      <c r="Q414" t="str">
        <f>IF(C414="","",ProcessUrl(P414,"GetTestResults"))</f>
        <v/>
      </c>
      <c r="R414" s="10" t="str">
        <f>IF(C414="","",JsProcess("JsonItem",JsProcess("JsonItem",Q414,"Passed"),"count"))</f>
        <v/>
      </c>
      <c r="S414" s="10" t="str">
        <f>IF(C414="","",JsProcess("JsonItem",JsProcess("JsonItem",Q414,"NotExecuted"),"count"))</f>
        <v/>
      </c>
    </row>
    <row r="415" spans="4:19" x14ac:dyDescent="0.25">
      <c r="D415" t="str">
        <f>IF(C415="","",VLOOKUP(A415,Projects!A:B,2,FALSE))</f>
        <v/>
      </c>
      <c r="E415" s="1" t="str">
        <f t="shared" si="60"/>
        <v/>
      </c>
      <c r="F415" t="str">
        <f t="shared" si="61"/>
        <v/>
      </c>
      <c r="G415" t="str">
        <f>IF(C415="","",ProcessUrl(E415,F415))</f>
        <v/>
      </c>
      <c r="H415" t="str">
        <f t="shared" si="62"/>
        <v/>
      </c>
      <c r="I415" t="str">
        <f t="shared" si="63"/>
        <v/>
      </c>
      <c r="J415" t="str">
        <f>IF(C415="","",ProcessUrl(H415,I415))</f>
        <v/>
      </c>
      <c r="K415" s="7" t="str">
        <f t="shared" si="64"/>
        <v/>
      </c>
      <c r="L415" s="7" t="str">
        <f t="shared" si="65"/>
        <v/>
      </c>
      <c r="M415" s="7" t="str">
        <f t="shared" si="66"/>
        <v/>
      </c>
      <c r="N415" s="7" t="str">
        <f t="shared" si="67"/>
        <v/>
      </c>
      <c r="O415" s="7" t="str">
        <f t="shared" si="68"/>
        <v/>
      </c>
      <c r="P415" t="str">
        <f t="shared" si="69"/>
        <v/>
      </c>
      <c r="Q415" t="str">
        <f>IF(C415="","",ProcessUrl(P415,"GetTestResults"))</f>
        <v/>
      </c>
      <c r="R415" s="10" t="str">
        <f>IF(C415="","",JsProcess("JsonItem",JsProcess("JsonItem",Q415,"Passed"),"count"))</f>
        <v/>
      </c>
      <c r="S415" s="10" t="str">
        <f>IF(C415="","",JsProcess("JsonItem",JsProcess("JsonItem",Q415,"NotExecuted"),"count"))</f>
        <v/>
      </c>
    </row>
    <row r="416" spans="4:19" x14ac:dyDescent="0.25">
      <c r="D416" t="str">
        <f>IF(C416="","",VLOOKUP(A416,Projects!A:B,2,FALSE))</f>
        <v/>
      </c>
      <c r="E416" s="1" t="str">
        <f t="shared" si="60"/>
        <v/>
      </c>
      <c r="F416" t="str">
        <f t="shared" si="61"/>
        <v/>
      </c>
      <c r="G416" t="str">
        <f>IF(C416="","",ProcessUrl(E416,F416))</f>
        <v/>
      </c>
      <c r="H416" t="str">
        <f t="shared" si="62"/>
        <v/>
      </c>
      <c r="I416" t="str">
        <f t="shared" si="63"/>
        <v/>
      </c>
      <c r="J416" t="str">
        <f>IF(C416="","",ProcessUrl(H416,I416))</f>
        <v/>
      </c>
      <c r="K416" s="7" t="str">
        <f t="shared" si="64"/>
        <v/>
      </c>
      <c r="L416" s="7" t="str">
        <f t="shared" si="65"/>
        <v/>
      </c>
      <c r="M416" s="7" t="str">
        <f t="shared" si="66"/>
        <v/>
      </c>
      <c r="N416" s="7" t="str">
        <f t="shared" si="67"/>
        <v/>
      </c>
      <c r="O416" s="7" t="str">
        <f t="shared" si="68"/>
        <v/>
      </c>
      <c r="P416" t="str">
        <f t="shared" si="69"/>
        <v/>
      </c>
      <c r="Q416" t="str">
        <f>IF(C416="","",ProcessUrl(P416,"GetTestResults"))</f>
        <v/>
      </c>
      <c r="R416" s="10" t="str">
        <f>IF(C416="","",JsProcess("JsonItem",JsProcess("JsonItem",Q416,"Passed"),"count"))</f>
        <v/>
      </c>
      <c r="S416" s="10" t="str">
        <f>IF(C416="","",JsProcess("JsonItem",JsProcess("JsonItem",Q416,"NotExecuted"),"count"))</f>
        <v/>
      </c>
    </row>
    <row r="417" spans="4:19" x14ac:dyDescent="0.25">
      <c r="D417" t="str">
        <f>IF(C417="","",VLOOKUP(A417,Projects!A:B,2,FALSE))</f>
        <v/>
      </c>
      <c r="E417" s="1" t="str">
        <f t="shared" si="60"/>
        <v/>
      </c>
      <c r="F417" t="str">
        <f t="shared" si="61"/>
        <v/>
      </c>
      <c r="G417" t="str">
        <f>IF(C417="","",ProcessUrl(E417,F417))</f>
        <v/>
      </c>
      <c r="H417" t="str">
        <f t="shared" si="62"/>
        <v/>
      </c>
      <c r="I417" t="str">
        <f t="shared" si="63"/>
        <v/>
      </c>
      <c r="J417" t="str">
        <f>IF(C417="","",ProcessUrl(H417,I417))</f>
        <v/>
      </c>
      <c r="K417" s="7" t="str">
        <f t="shared" si="64"/>
        <v/>
      </c>
      <c r="L417" s="7" t="str">
        <f t="shared" si="65"/>
        <v/>
      </c>
      <c r="M417" s="7" t="str">
        <f t="shared" si="66"/>
        <v/>
      </c>
      <c r="N417" s="7" t="str">
        <f t="shared" si="67"/>
        <v/>
      </c>
      <c r="O417" s="7" t="str">
        <f t="shared" si="68"/>
        <v/>
      </c>
      <c r="P417" t="str">
        <f t="shared" si="69"/>
        <v/>
      </c>
      <c r="Q417" t="str">
        <f>IF(C417="","",ProcessUrl(P417,"GetTestResults"))</f>
        <v/>
      </c>
      <c r="R417" s="10" t="str">
        <f>IF(C417="","",JsProcess("JsonItem",JsProcess("JsonItem",Q417,"Passed"),"count"))</f>
        <v/>
      </c>
      <c r="S417" s="10" t="str">
        <f>IF(C417="","",JsProcess("JsonItem",JsProcess("JsonItem",Q417,"NotExecuted"),"count"))</f>
        <v/>
      </c>
    </row>
    <row r="418" spans="4:19" x14ac:dyDescent="0.25">
      <c r="D418" t="str">
        <f>IF(C418="","",VLOOKUP(A418,Projects!A:B,2,FALSE))</f>
        <v/>
      </c>
      <c r="E418" s="1" t="str">
        <f t="shared" si="60"/>
        <v/>
      </c>
      <c r="F418" t="str">
        <f t="shared" si="61"/>
        <v/>
      </c>
      <c r="G418" t="str">
        <f>IF(C418="","",ProcessUrl(E418,F418))</f>
        <v/>
      </c>
      <c r="H418" t="str">
        <f t="shared" si="62"/>
        <v/>
      </c>
      <c r="I418" t="str">
        <f t="shared" si="63"/>
        <v/>
      </c>
      <c r="J418" t="str">
        <f>IF(C418="","",ProcessUrl(H418,I418))</f>
        <v/>
      </c>
      <c r="K418" s="7" t="str">
        <f t="shared" si="64"/>
        <v/>
      </c>
      <c r="L418" s="7" t="str">
        <f t="shared" si="65"/>
        <v/>
      </c>
      <c r="M418" s="7" t="str">
        <f t="shared" si="66"/>
        <v/>
      </c>
      <c r="N418" s="7" t="str">
        <f t="shared" si="67"/>
        <v/>
      </c>
      <c r="O418" s="7" t="str">
        <f t="shared" si="68"/>
        <v/>
      </c>
      <c r="P418" t="str">
        <f t="shared" si="69"/>
        <v/>
      </c>
      <c r="Q418" t="str">
        <f>IF(C418="","",ProcessUrl(P418,"GetTestResults"))</f>
        <v/>
      </c>
      <c r="R418" s="10" t="str">
        <f>IF(C418="","",JsProcess("JsonItem",JsProcess("JsonItem",Q418,"Passed"),"count"))</f>
        <v/>
      </c>
      <c r="S418" s="10" t="str">
        <f>IF(C418="","",JsProcess("JsonItem",JsProcess("JsonItem",Q418,"NotExecuted"),"count"))</f>
        <v/>
      </c>
    </row>
    <row r="419" spans="4:19" x14ac:dyDescent="0.25">
      <c r="D419" t="str">
        <f>IF(C419="","",VLOOKUP(A419,Projects!A:B,2,FALSE))</f>
        <v/>
      </c>
      <c r="E419" s="1" t="str">
        <f t="shared" si="60"/>
        <v/>
      </c>
      <c r="F419" t="str">
        <f t="shared" si="61"/>
        <v/>
      </c>
      <c r="G419" t="str">
        <f>IF(C419="","",ProcessUrl(E419,F419))</f>
        <v/>
      </c>
      <c r="H419" t="str">
        <f t="shared" si="62"/>
        <v/>
      </c>
      <c r="I419" t="str">
        <f t="shared" si="63"/>
        <v/>
      </c>
      <c r="J419" t="str">
        <f>IF(C419="","",ProcessUrl(H419,I419))</f>
        <v/>
      </c>
      <c r="K419" s="7" t="str">
        <f t="shared" si="64"/>
        <v/>
      </c>
      <c r="L419" s="7" t="str">
        <f t="shared" si="65"/>
        <v/>
      </c>
      <c r="M419" s="7" t="str">
        <f t="shared" si="66"/>
        <v/>
      </c>
      <c r="N419" s="7" t="str">
        <f t="shared" si="67"/>
        <v/>
      </c>
      <c r="O419" s="7" t="str">
        <f t="shared" si="68"/>
        <v/>
      </c>
      <c r="P419" t="str">
        <f t="shared" si="69"/>
        <v/>
      </c>
      <c r="Q419" t="str">
        <f>IF(C419="","",ProcessUrl(P419,"GetTestResults"))</f>
        <v/>
      </c>
      <c r="R419" s="10" t="str">
        <f>IF(C419="","",JsProcess("JsonItem",JsProcess("JsonItem",Q419,"Passed"),"count"))</f>
        <v/>
      </c>
      <c r="S419" s="10" t="str">
        <f>IF(C419="","",JsProcess("JsonItem",JsProcess("JsonItem",Q419,"NotExecuted"),"count"))</f>
        <v/>
      </c>
    </row>
    <row r="420" spans="4:19" x14ac:dyDescent="0.25">
      <c r="D420" t="str">
        <f>IF(C420="","",VLOOKUP(A420,Projects!A:B,2,FALSE))</f>
        <v/>
      </c>
      <c r="E420" s="1" t="str">
        <f t="shared" si="60"/>
        <v/>
      </c>
      <c r="F420" t="str">
        <f t="shared" si="61"/>
        <v/>
      </c>
      <c r="G420" t="str">
        <f>IF(C420="","",ProcessUrl(E420,F420))</f>
        <v/>
      </c>
      <c r="H420" t="str">
        <f t="shared" si="62"/>
        <v/>
      </c>
      <c r="I420" t="str">
        <f t="shared" si="63"/>
        <v/>
      </c>
      <c r="J420" t="str">
        <f>IF(C420="","",ProcessUrl(H420,I420))</f>
        <v/>
      </c>
      <c r="K420" s="7" t="str">
        <f t="shared" si="64"/>
        <v/>
      </c>
      <c r="L420" s="7" t="str">
        <f t="shared" si="65"/>
        <v/>
      </c>
      <c r="M420" s="7" t="str">
        <f t="shared" si="66"/>
        <v/>
      </c>
      <c r="N420" s="7" t="str">
        <f t="shared" si="67"/>
        <v/>
      </c>
      <c r="O420" s="7" t="str">
        <f t="shared" si="68"/>
        <v/>
      </c>
      <c r="P420" t="str">
        <f t="shared" si="69"/>
        <v/>
      </c>
      <c r="Q420" t="str">
        <f>IF(C420="","",ProcessUrl(P420,"GetTestResults"))</f>
        <v/>
      </c>
      <c r="R420" s="10" t="str">
        <f>IF(C420="","",JsProcess("JsonItem",JsProcess("JsonItem",Q420,"Passed"),"count"))</f>
        <v/>
      </c>
      <c r="S420" s="10" t="str">
        <f>IF(C420="","",JsProcess("JsonItem",JsProcess("JsonItem",Q420,"NotExecuted"),"count"))</f>
        <v/>
      </c>
    </row>
    <row r="421" spans="4:19" x14ac:dyDescent="0.25">
      <c r="D421" t="str">
        <f>IF(C421="","",VLOOKUP(A421,Projects!A:B,2,FALSE))</f>
        <v/>
      </c>
      <c r="E421" s="1" t="str">
        <f t="shared" si="60"/>
        <v/>
      </c>
      <c r="F421" t="str">
        <f t="shared" si="61"/>
        <v/>
      </c>
      <c r="G421" t="str">
        <f>IF(C421="","",ProcessUrl(E421,F421))</f>
        <v/>
      </c>
      <c r="H421" t="str">
        <f t="shared" si="62"/>
        <v/>
      </c>
      <c r="I421" t="str">
        <f t="shared" si="63"/>
        <v/>
      </c>
      <c r="J421" t="str">
        <f>IF(C421="","",ProcessUrl(H421,I421))</f>
        <v/>
      </c>
      <c r="K421" s="7" t="str">
        <f t="shared" si="64"/>
        <v/>
      </c>
      <c r="L421" s="7" t="str">
        <f t="shared" si="65"/>
        <v/>
      </c>
      <c r="M421" s="7" t="str">
        <f t="shared" si="66"/>
        <v/>
      </c>
      <c r="N421" s="7" t="str">
        <f t="shared" si="67"/>
        <v/>
      </c>
      <c r="O421" s="7" t="str">
        <f t="shared" si="68"/>
        <v/>
      </c>
      <c r="P421" t="str">
        <f t="shared" si="69"/>
        <v/>
      </c>
      <c r="Q421" t="str">
        <f>IF(C421="","",ProcessUrl(P421,"GetTestResults"))</f>
        <v/>
      </c>
      <c r="R421" s="10" t="str">
        <f>IF(C421="","",JsProcess("JsonItem",JsProcess("JsonItem",Q421,"Passed"),"count"))</f>
        <v/>
      </c>
      <c r="S421" s="10" t="str">
        <f>IF(C421="","",JsProcess("JsonItem",JsProcess("JsonItem",Q421,"NotExecuted"),"count"))</f>
        <v/>
      </c>
    </row>
    <row r="422" spans="4:19" x14ac:dyDescent="0.25">
      <c r="D422" t="str">
        <f>IF(C422="","",VLOOKUP(A422,Projects!A:B,2,FALSE))</f>
        <v/>
      </c>
      <c r="E422" s="1" t="str">
        <f t="shared" si="60"/>
        <v/>
      </c>
      <c r="F422" t="str">
        <f t="shared" si="61"/>
        <v/>
      </c>
      <c r="G422" t="str">
        <f>IF(C422="","",ProcessUrl(E422,F422))</f>
        <v/>
      </c>
      <c r="H422" t="str">
        <f t="shared" si="62"/>
        <v/>
      </c>
      <c r="I422" t="str">
        <f t="shared" si="63"/>
        <v/>
      </c>
      <c r="J422" t="str">
        <f>IF(C422="","",ProcessUrl(H422,I422))</f>
        <v/>
      </c>
      <c r="K422" s="7" t="str">
        <f t="shared" si="64"/>
        <v/>
      </c>
      <c r="L422" s="7" t="str">
        <f t="shared" si="65"/>
        <v/>
      </c>
      <c r="M422" s="7" t="str">
        <f t="shared" si="66"/>
        <v/>
      </c>
      <c r="N422" s="7" t="str">
        <f t="shared" si="67"/>
        <v/>
      </c>
      <c r="O422" s="7" t="str">
        <f t="shared" si="68"/>
        <v/>
      </c>
      <c r="P422" t="str">
        <f t="shared" si="69"/>
        <v/>
      </c>
      <c r="Q422" t="str">
        <f>IF(C422="","",ProcessUrl(P422,"GetTestResults"))</f>
        <v/>
      </c>
      <c r="R422" s="10" t="str">
        <f>IF(C422="","",JsProcess("JsonItem",JsProcess("JsonItem",Q422,"Passed"),"count"))</f>
        <v/>
      </c>
      <c r="S422" s="10" t="str">
        <f>IF(C422="","",JsProcess("JsonItem",JsProcess("JsonItem",Q422,"NotExecuted"),"count"))</f>
        <v/>
      </c>
    </row>
    <row r="423" spans="4:19" x14ac:dyDescent="0.25">
      <c r="D423" t="str">
        <f>IF(C423="","",VLOOKUP(A423,Projects!A:B,2,FALSE))</f>
        <v/>
      </c>
      <c r="E423" s="1" t="str">
        <f t="shared" si="60"/>
        <v/>
      </c>
      <c r="F423" t="str">
        <f t="shared" si="61"/>
        <v/>
      </c>
      <c r="G423" t="str">
        <f>IF(C423="","",ProcessUrl(E423,F423))</f>
        <v/>
      </c>
      <c r="H423" t="str">
        <f t="shared" si="62"/>
        <v/>
      </c>
      <c r="I423" t="str">
        <f t="shared" si="63"/>
        <v/>
      </c>
      <c r="J423" t="str">
        <f>IF(C423="","",ProcessUrl(H423,I423))</f>
        <v/>
      </c>
      <c r="K423" s="7" t="str">
        <f t="shared" si="64"/>
        <v/>
      </c>
      <c r="L423" s="7" t="str">
        <f t="shared" si="65"/>
        <v/>
      </c>
      <c r="M423" s="7" t="str">
        <f t="shared" si="66"/>
        <v/>
      </c>
      <c r="N423" s="7" t="str">
        <f t="shared" si="67"/>
        <v/>
      </c>
      <c r="O423" s="7" t="str">
        <f t="shared" si="68"/>
        <v/>
      </c>
      <c r="P423" t="str">
        <f t="shared" si="69"/>
        <v/>
      </c>
      <c r="Q423" t="str">
        <f>IF(C423="","",ProcessUrl(P423,"GetTestResults"))</f>
        <v/>
      </c>
      <c r="R423" s="10" t="str">
        <f>IF(C423="","",JsProcess("JsonItem",JsProcess("JsonItem",Q423,"Passed"),"count"))</f>
        <v/>
      </c>
      <c r="S423" s="10" t="str">
        <f>IF(C423="","",JsProcess("JsonItem",JsProcess("JsonItem",Q423,"NotExecuted"),"count"))</f>
        <v/>
      </c>
    </row>
    <row r="424" spans="4:19" x14ac:dyDescent="0.25">
      <c r="D424" t="str">
        <f>IF(C424="","",VLOOKUP(A424,Projects!A:B,2,FALSE))</f>
        <v/>
      </c>
      <c r="E424" s="1" t="str">
        <f t="shared" si="60"/>
        <v/>
      </c>
      <c r="F424" t="str">
        <f t="shared" si="61"/>
        <v/>
      </c>
      <c r="G424" t="str">
        <f>IF(C424="","",ProcessUrl(E424,F424))</f>
        <v/>
      </c>
      <c r="H424" t="str">
        <f t="shared" si="62"/>
        <v/>
      </c>
      <c r="I424" t="str">
        <f t="shared" si="63"/>
        <v/>
      </c>
      <c r="J424" t="str">
        <f>IF(C424="","",ProcessUrl(H424,I424))</f>
        <v/>
      </c>
      <c r="K424" s="7" t="str">
        <f t="shared" si="64"/>
        <v/>
      </c>
      <c r="L424" s="7" t="str">
        <f t="shared" si="65"/>
        <v/>
      </c>
      <c r="M424" s="7" t="str">
        <f t="shared" si="66"/>
        <v/>
      </c>
      <c r="N424" s="7" t="str">
        <f t="shared" si="67"/>
        <v/>
      </c>
      <c r="O424" s="7" t="str">
        <f t="shared" si="68"/>
        <v/>
      </c>
      <c r="P424" t="str">
        <f t="shared" si="69"/>
        <v/>
      </c>
      <c r="Q424" t="str">
        <f>IF(C424="","",ProcessUrl(P424,"GetTestResults"))</f>
        <v/>
      </c>
      <c r="R424" s="10" t="str">
        <f>IF(C424="","",JsProcess("JsonItem",JsProcess("JsonItem",Q424,"Passed"),"count"))</f>
        <v/>
      </c>
      <c r="S424" s="10" t="str">
        <f>IF(C424="","",JsProcess("JsonItem",JsProcess("JsonItem",Q424,"NotExecuted"),"count"))</f>
        <v/>
      </c>
    </row>
    <row r="425" spans="4:19" x14ac:dyDescent="0.25">
      <c r="D425" t="str">
        <f>IF(C425="","",VLOOKUP(A425,Projects!A:B,2,FALSE))</f>
        <v/>
      </c>
      <c r="E425" s="1" t="str">
        <f t="shared" si="60"/>
        <v/>
      </c>
      <c r="F425" t="str">
        <f t="shared" si="61"/>
        <v/>
      </c>
      <c r="G425" t="str">
        <f>IF(C425="","",ProcessUrl(E425,F425))</f>
        <v/>
      </c>
      <c r="H425" t="str">
        <f t="shared" si="62"/>
        <v/>
      </c>
      <c r="I425" t="str">
        <f t="shared" si="63"/>
        <v/>
      </c>
      <c r="J425" t="str">
        <f>IF(C425="","",ProcessUrl(H425,I425))</f>
        <v/>
      </c>
      <c r="K425" s="7" t="str">
        <f t="shared" si="64"/>
        <v/>
      </c>
      <c r="L425" s="7" t="str">
        <f t="shared" si="65"/>
        <v/>
      </c>
      <c r="M425" s="7" t="str">
        <f t="shared" si="66"/>
        <v/>
      </c>
      <c r="N425" s="7" t="str">
        <f t="shared" si="67"/>
        <v/>
      </c>
      <c r="O425" s="7" t="str">
        <f t="shared" si="68"/>
        <v/>
      </c>
      <c r="P425" t="str">
        <f t="shared" si="69"/>
        <v/>
      </c>
      <c r="Q425" t="str">
        <f>IF(C425="","",ProcessUrl(P425,"GetTestResults"))</f>
        <v/>
      </c>
      <c r="R425" s="10" t="str">
        <f>IF(C425="","",JsProcess("JsonItem",JsProcess("JsonItem",Q425,"Passed"),"count"))</f>
        <v/>
      </c>
      <c r="S425" s="10" t="str">
        <f>IF(C425="","",JsProcess("JsonItem",JsProcess("JsonItem",Q425,"NotExecuted"),"count"))</f>
        <v/>
      </c>
    </row>
    <row r="426" spans="4:19" x14ac:dyDescent="0.25">
      <c r="D426" t="str">
        <f>IF(C426="","",VLOOKUP(A426,Projects!A:B,2,FALSE))</f>
        <v/>
      </c>
      <c r="E426" s="1" t="str">
        <f t="shared" si="60"/>
        <v/>
      </c>
      <c r="F426" t="str">
        <f t="shared" si="61"/>
        <v/>
      </c>
      <c r="G426" t="str">
        <f>IF(C426="","",ProcessUrl(E426,F426))</f>
        <v/>
      </c>
      <c r="H426" t="str">
        <f t="shared" si="62"/>
        <v/>
      </c>
      <c r="I426" t="str">
        <f t="shared" si="63"/>
        <v/>
      </c>
      <c r="J426" t="str">
        <f>IF(C426="","",ProcessUrl(H426,I426))</f>
        <v/>
      </c>
      <c r="K426" s="7" t="str">
        <f t="shared" si="64"/>
        <v/>
      </c>
      <c r="L426" s="7" t="str">
        <f t="shared" si="65"/>
        <v/>
      </c>
      <c r="M426" s="7" t="str">
        <f t="shared" si="66"/>
        <v/>
      </c>
      <c r="N426" s="7" t="str">
        <f t="shared" si="67"/>
        <v/>
      </c>
      <c r="O426" s="7" t="str">
        <f t="shared" si="68"/>
        <v/>
      </c>
      <c r="P426" t="str">
        <f t="shared" si="69"/>
        <v/>
      </c>
      <c r="Q426" t="str">
        <f>IF(C426="","",ProcessUrl(P426,"GetTestResults"))</f>
        <v/>
      </c>
      <c r="R426" s="10" t="str">
        <f>IF(C426="","",JsProcess("JsonItem",JsProcess("JsonItem",Q426,"Passed"),"count"))</f>
        <v/>
      </c>
      <c r="S426" s="10" t="str">
        <f>IF(C426="","",JsProcess("JsonItem",JsProcess("JsonItem",Q426,"NotExecuted"),"count"))</f>
        <v/>
      </c>
    </row>
    <row r="427" spans="4:19" x14ac:dyDescent="0.25">
      <c r="D427" t="str">
        <f>IF(C427="","",VLOOKUP(A427,Projects!A:B,2,FALSE))</f>
        <v/>
      </c>
      <c r="E427" s="1" t="str">
        <f t="shared" si="60"/>
        <v/>
      </c>
      <c r="F427" t="str">
        <f t="shared" si="61"/>
        <v/>
      </c>
      <c r="G427" t="str">
        <f>IF(C427="","",ProcessUrl(E427,F427))</f>
        <v/>
      </c>
      <c r="H427" t="str">
        <f t="shared" si="62"/>
        <v/>
      </c>
      <c r="I427" t="str">
        <f t="shared" si="63"/>
        <v/>
      </c>
      <c r="J427" t="str">
        <f>IF(C427="","",ProcessUrl(H427,I427))</f>
        <v/>
      </c>
      <c r="K427" s="7" t="str">
        <f t="shared" si="64"/>
        <v/>
      </c>
      <c r="L427" s="7" t="str">
        <f t="shared" si="65"/>
        <v/>
      </c>
      <c r="M427" s="7" t="str">
        <f t="shared" si="66"/>
        <v/>
      </c>
      <c r="N427" s="7" t="str">
        <f t="shared" si="67"/>
        <v/>
      </c>
      <c r="O427" s="7" t="str">
        <f t="shared" si="68"/>
        <v/>
      </c>
      <c r="P427" t="str">
        <f t="shared" si="69"/>
        <v/>
      </c>
      <c r="Q427" t="str">
        <f>IF(C427="","",ProcessUrl(P427,"GetTestResults"))</f>
        <v/>
      </c>
      <c r="R427" s="10" t="str">
        <f>IF(C427="","",JsProcess("JsonItem",JsProcess("JsonItem",Q427,"Passed"),"count"))</f>
        <v/>
      </c>
      <c r="S427" s="10" t="str">
        <f>IF(C427="","",JsProcess("JsonItem",JsProcess("JsonItem",Q427,"NotExecuted"),"count"))</f>
        <v/>
      </c>
    </row>
    <row r="428" spans="4:19" x14ac:dyDescent="0.25">
      <c r="D428" t="str">
        <f>IF(C428="","",VLOOKUP(A428,Projects!A:B,2,FALSE))</f>
        <v/>
      </c>
      <c r="E428" s="1" t="str">
        <f t="shared" si="60"/>
        <v/>
      </c>
      <c r="F428" t="str">
        <f t="shared" si="61"/>
        <v/>
      </c>
      <c r="G428" t="str">
        <f>IF(C428="","",ProcessUrl(E428,F428))</f>
        <v/>
      </c>
      <c r="H428" t="str">
        <f t="shared" si="62"/>
        <v/>
      </c>
      <c r="I428" t="str">
        <f t="shared" si="63"/>
        <v/>
      </c>
      <c r="J428" t="str">
        <f>IF(C428="","",ProcessUrl(H428,I428))</f>
        <v/>
      </c>
      <c r="K428" s="7" t="str">
        <f t="shared" si="64"/>
        <v/>
      </c>
      <c r="L428" s="7" t="str">
        <f t="shared" si="65"/>
        <v/>
      </c>
      <c r="M428" s="7" t="str">
        <f t="shared" si="66"/>
        <v/>
      </c>
      <c r="N428" s="7" t="str">
        <f t="shared" si="67"/>
        <v/>
      </c>
      <c r="O428" s="7" t="str">
        <f t="shared" si="68"/>
        <v/>
      </c>
      <c r="P428" t="str">
        <f t="shared" si="69"/>
        <v/>
      </c>
      <c r="Q428" t="str">
        <f>IF(C428="","",ProcessUrl(P428,"GetTestResults"))</f>
        <v/>
      </c>
      <c r="R428" s="10" t="str">
        <f>IF(C428="","",JsProcess("JsonItem",JsProcess("JsonItem",Q428,"Passed"),"count"))</f>
        <v/>
      </c>
      <c r="S428" s="10" t="str">
        <f>IF(C428="","",JsProcess("JsonItem",JsProcess("JsonItem",Q428,"NotExecuted"),"count"))</f>
        <v/>
      </c>
    </row>
    <row r="429" spans="4:19" x14ac:dyDescent="0.25">
      <c r="D429" t="str">
        <f>IF(C429="","",VLOOKUP(A429,Projects!A:B,2,FALSE))</f>
        <v/>
      </c>
      <c r="E429" s="1" t="str">
        <f t="shared" si="60"/>
        <v/>
      </c>
      <c r="F429" t="str">
        <f t="shared" si="61"/>
        <v/>
      </c>
      <c r="G429" t="str">
        <f>IF(C429="","",ProcessUrl(E429,F429))</f>
        <v/>
      </c>
      <c r="H429" t="str">
        <f t="shared" si="62"/>
        <v/>
      </c>
      <c r="I429" t="str">
        <f t="shared" si="63"/>
        <v/>
      </c>
      <c r="J429" t="str">
        <f>IF(C429="","",ProcessUrl(H429,I429))</f>
        <v/>
      </c>
      <c r="K429" s="7" t="str">
        <f t="shared" si="64"/>
        <v/>
      </c>
      <c r="L429" s="7" t="str">
        <f t="shared" si="65"/>
        <v/>
      </c>
      <c r="M429" s="7" t="str">
        <f t="shared" si="66"/>
        <v/>
      </c>
      <c r="N429" s="7" t="str">
        <f t="shared" si="67"/>
        <v/>
      </c>
      <c r="O429" s="7" t="str">
        <f t="shared" si="68"/>
        <v/>
      </c>
      <c r="P429" t="str">
        <f t="shared" si="69"/>
        <v/>
      </c>
      <c r="Q429" t="str">
        <f>IF(C429="","",ProcessUrl(P429,"GetTestResults"))</f>
        <v/>
      </c>
      <c r="R429" s="10" t="str">
        <f>IF(C429="","",JsProcess("JsonItem",JsProcess("JsonItem",Q429,"Passed"),"count"))</f>
        <v/>
      </c>
      <c r="S429" s="10" t="str">
        <f>IF(C429="","",JsProcess("JsonItem",JsProcess("JsonItem",Q429,"NotExecuted"),"count"))</f>
        <v/>
      </c>
    </row>
    <row r="430" spans="4:19" x14ac:dyDescent="0.25">
      <c r="D430" t="str">
        <f>IF(C430="","",VLOOKUP(A430,Projects!A:B,2,FALSE))</f>
        <v/>
      </c>
      <c r="E430" s="1" t="str">
        <f t="shared" si="60"/>
        <v/>
      </c>
      <c r="F430" t="str">
        <f t="shared" si="61"/>
        <v/>
      </c>
      <c r="G430" t="str">
        <f>IF(C430="","",ProcessUrl(E430,F430))</f>
        <v/>
      </c>
      <c r="H430" t="str">
        <f t="shared" si="62"/>
        <v/>
      </c>
      <c r="I430" t="str">
        <f t="shared" si="63"/>
        <v/>
      </c>
      <c r="J430" t="str">
        <f>IF(C430="","",ProcessUrl(H430,I430))</f>
        <v/>
      </c>
      <c r="K430" s="7" t="str">
        <f t="shared" si="64"/>
        <v/>
      </c>
      <c r="L430" s="7" t="str">
        <f t="shared" si="65"/>
        <v/>
      </c>
      <c r="M430" s="7" t="str">
        <f t="shared" si="66"/>
        <v/>
      </c>
      <c r="N430" s="7" t="str">
        <f t="shared" si="67"/>
        <v/>
      </c>
      <c r="O430" s="7" t="str">
        <f t="shared" si="68"/>
        <v/>
      </c>
      <c r="P430" t="str">
        <f t="shared" si="69"/>
        <v/>
      </c>
      <c r="Q430" t="str">
        <f>IF(C430="","",ProcessUrl(P430,"GetTestResults"))</f>
        <v/>
      </c>
      <c r="R430" s="10" t="str">
        <f>IF(C430="","",JsProcess("JsonItem",JsProcess("JsonItem",Q430,"Passed"),"count"))</f>
        <v/>
      </c>
      <c r="S430" s="10" t="str">
        <f>IF(C430="","",JsProcess("JsonItem",JsProcess("JsonItem",Q430,"NotExecuted"),"count"))</f>
        <v/>
      </c>
    </row>
    <row r="431" spans="4:19" x14ac:dyDescent="0.25">
      <c r="D431" t="str">
        <f>IF(C431="","",VLOOKUP(A431,Projects!A:B,2,FALSE))</f>
        <v/>
      </c>
      <c r="E431" s="1" t="str">
        <f t="shared" si="60"/>
        <v/>
      </c>
      <c r="F431" t="str">
        <f t="shared" si="61"/>
        <v/>
      </c>
      <c r="G431" t="str">
        <f>IF(C431="","",ProcessUrl(E431,F431))</f>
        <v/>
      </c>
      <c r="H431" t="str">
        <f t="shared" si="62"/>
        <v/>
      </c>
      <c r="I431" t="str">
        <f t="shared" si="63"/>
        <v/>
      </c>
      <c r="J431" t="str">
        <f>IF(C431="","",ProcessUrl(H431,I431))</f>
        <v/>
      </c>
      <c r="K431" s="7" t="str">
        <f t="shared" si="64"/>
        <v/>
      </c>
      <c r="L431" s="7" t="str">
        <f t="shared" si="65"/>
        <v/>
      </c>
      <c r="M431" s="7" t="str">
        <f t="shared" si="66"/>
        <v/>
      </c>
      <c r="N431" s="7" t="str">
        <f t="shared" si="67"/>
        <v/>
      </c>
      <c r="O431" s="7" t="str">
        <f t="shared" si="68"/>
        <v/>
      </c>
      <c r="P431" t="str">
        <f t="shared" si="69"/>
        <v/>
      </c>
      <c r="Q431" t="str">
        <f>IF(C431="","",ProcessUrl(P431,"GetTestResults"))</f>
        <v/>
      </c>
      <c r="R431" s="10" t="str">
        <f>IF(C431="","",JsProcess("JsonItem",JsProcess("JsonItem",Q431,"Passed"),"count"))</f>
        <v/>
      </c>
      <c r="S431" s="10" t="str">
        <f>IF(C431="","",JsProcess("JsonItem",JsProcess("JsonItem",Q431,"NotExecuted"),"count"))</f>
        <v/>
      </c>
    </row>
    <row r="432" spans="4:19" x14ac:dyDescent="0.25">
      <c r="D432" t="str">
        <f>IF(C432="","",VLOOKUP(A432,Projects!A:B,2,FALSE))</f>
        <v/>
      </c>
      <c r="E432" s="1" t="str">
        <f t="shared" si="60"/>
        <v/>
      </c>
      <c r="F432" t="str">
        <f t="shared" si="61"/>
        <v/>
      </c>
      <c r="G432" t="str">
        <f>IF(C432="","",ProcessUrl(E432,F432))</f>
        <v/>
      </c>
      <c r="H432" t="str">
        <f t="shared" si="62"/>
        <v/>
      </c>
      <c r="I432" t="str">
        <f t="shared" si="63"/>
        <v/>
      </c>
      <c r="J432" t="str">
        <f>IF(C432="","",ProcessUrl(H432,I432))</f>
        <v/>
      </c>
      <c r="K432" s="7" t="str">
        <f t="shared" si="64"/>
        <v/>
      </c>
      <c r="L432" s="7" t="str">
        <f t="shared" si="65"/>
        <v/>
      </c>
      <c r="M432" s="7" t="str">
        <f t="shared" si="66"/>
        <v/>
      </c>
      <c r="N432" s="7" t="str">
        <f t="shared" si="67"/>
        <v/>
      </c>
      <c r="O432" s="7" t="str">
        <f t="shared" si="68"/>
        <v/>
      </c>
      <c r="P432" t="str">
        <f t="shared" si="69"/>
        <v/>
      </c>
      <c r="Q432" t="str">
        <f>IF(C432="","",ProcessUrl(P432,"GetTestResults"))</f>
        <v/>
      </c>
      <c r="R432" s="10" t="str">
        <f>IF(C432="","",JsProcess("JsonItem",JsProcess("JsonItem",Q432,"Passed"),"count"))</f>
        <v/>
      </c>
      <c r="S432" s="10" t="str">
        <f>IF(C432="","",JsProcess("JsonItem",JsProcess("JsonItem",Q432,"NotExecuted"),"count"))</f>
        <v/>
      </c>
    </row>
    <row r="433" spans="4:19" x14ac:dyDescent="0.25">
      <c r="D433" t="str">
        <f>IF(C433="","",VLOOKUP(A433,Projects!A:B,2,FALSE))</f>
        <v/>
      </c>
      <c r="E433" s="1" t="str">
        <f t="shared" si="60"/>
        <v/>
      </c>
      <c r="F433" t="str">
        <f t="shared" si="61"/>
        <v/>
      </c>
      <c r="G433" t="str">
        <f>IF(C433="","",ProcessUrl(E433,F433))</f>
        <v/>
      </c>
      <c r="H433" t="str">
        <f t="shared" si="62"/>
        <v/>
      </c>
      <c r="I433" t="str">
        <f t="shared" si="63"/>
        <v/>
      </c>
      <c r="J433" t="str">
        <f>IF(C433="","",ProcessUrl(H433,I433))</f>
        <v/>
      </c>
      <c r="K433" s="7" t="str">
        <f t="shared" si="64"/>
        <v/>
      </c>
      <c r="L433" s="7" t="str">
        <f t="shared" si="65"/>
        <v/>
      </c>
      <c r="M433" s="7" t="str">
        <f t="shared" si="66"/>
        <v/>
      </c>
      <c r="N433" s="7" t="str">
        <f t="shared" si="67"/>
        <v/>
      </c>
      <c r="O433" s="7" t="str">
        <f t="shared" si="68"/>
        <v/>
      </c>
      <c r="P433" t="str">
        <f t="shared" si="69"/>
        <v/>
      </c>
      <c r="Q433" t="str">
        <f>IF(C433="","",ProcessUrl(P433,"GetTestResults"))</f>
        <v/>
      </c>
      <c r="R433" s="10" t="str">
        <f>IF(C433="","",JsProcess("JsonItem",JsProcess("JsonItem",Q433,"Passed"),"count"))</f>
        <v/>
      </c>
      <c r="S433" s="10" t="str">
        <f>IF(C433="","",JsProcess("JsonItem",JsProcess("JsonItem",Q433,"NotExecuted"),"count"))</f>
        <v/>
      </c>
    </row>
    <row r="434" spans="4:19" x14ac:dyDescent="0.25">
      <c r="D434" t="str">
        <f>IF(C434="","",VLOOKUP(A434,Projects!A:B,2,FALSE))</f>
        <v/>
      </c>
      <c r="E434" s="1" t="str">
        <f t="shared" si="60"/>
        <v/>
      </c>
      <c r="F434" t="str">
        <f t="shared" si="61"/>
        <v/>
      </c>
      <c r="G434" t="str">
        <f>IF(C434="","",ProcessUrl(E434,F434))</f>
        <v/>
      </c>
      <c r="H434" t="str">
        <f t="shared" si="62"/>
        <v/>
      </c>
      <c r="I434" t="str">
        <f t="shared" si="63"/>
        <v/>
      </c>
      <c r="J434" t="str">
        <f>IF(C434="","",ProcessUrl(H434,I434))</f>
        <v/>
      </c>
      <c r="K434" s="7" t="str">
        <f t="shared" si="64"/>
        <v/>
      </c>
      <c r="L434" s="7" t="str">
        <f t="shared" si="65"/>
        <v/>
      </c>
      <c r="M434" s="7" t="str">
        <f t="shared" si="66"/>
        <v/>
      </c>
      <c r="N434" s="7" t="str">
        <f t="shared" si="67"/>
        <v/>
      </c>
      <c r="O434" s="7" t="str">
        <f t="shared" si="68"/>
        <v/>
      </c>
      <c r="P434" t="str">
        <f t="shared" si="69"/>
        <v/>
      </c>
      <c r="Q434" t="str">
        <f>IF(C434="","",ProcessUrl(P434,"GetTestResults"))</f>
        <v/>
      </c>
      <c r="R434" s="10" t="str">
        <f>IF(C434="","",JsProcess("JsonItem",JsProcess("JsonItem",Q434,"Passed"),"count"))</f>
        <v/>
      </c>
      <c r="S434" s="10" t="str">
        <f>IF(C434="","",JsProcess("JsonItem",JsProcess("JsonItem",Q434,"NotExecuted"),"count"))</f>
        <v/>
      </c>
    </row>
    <row r="435" spans="4:19" x14ac:dyDescent="0.25">
      <c r="D435" t="str">
        <f>IF(C435="","",VLOOKUP(A435,Projects!A:B,2,FALSE))</f>
        <v/>
      </c>
      <c r="E435" s="1" t="str">
        <f t="shared" si="60"/>
        <v/>
      </c>
      <c r="F435" t="str">
        <f t="shared" si="61"/>
        <v/>
      </c>
      <c r="G435" t="str">
        <f>IF(C435="","",ProcessUrl(E435,F435))</f>
        <v/>
      </c>
      <c r="H435" t="str">
        <f t="shared" si="62"/>
        <v/>
      </c>
      <c r="I435" t="str">
        <f t="shared" si="63"/>
        <v/>
      </c>
      <c r="J435" t="str">
        <f>IF(C435="","",ProcessUrl(H435,I435))</f>
        <v/>
      </c>
      <c r="K435" s="7" t="str">
        <f t="shared" si="64"/>
        <v/>
      </c>
      <c r="L435" s="7" t="str">
        <f t="shared" si="65"/>
        <v/>
      </c>
      <c r="M435" s="7" t="str">
        <f t="shared" si="66"/>
        <v/>
      </c>
      <c r="N435" s="7" t="str">
        <f t="shared" si="67"/>
        <v/>
      </c>
      <c r="O435" s="7" t="str">
        <f t="shared" si="68"/>
        <v/>
      </c>
      <c r="P435" t="str">
        <f t="shared" si="69"/>
        <v/>
      </c>
      <c r="Q435" t="str">
        <f>IF(C435="","",ProcessUrl(P435,"GetTestResults"))</f>
        <v/>
      </c>
      <c r="R435" s="10" t="str">
        <f>IF(C435="","",JsProcess("JsonItem",JsProcess("JsonItem",Q435,"Passed"),"count"))</f>
        <v/>
      </c>
      <c r="S435" s="10" t="str">
        <f>IF(C435="","",JsProcess("JsonItem",JsProcess("JsonItem",Q435,"NotExecuted"),"count"))</f>
        <v/>
      </c>
    </row>
    <row r="436" spans="4:19" x14ac:dyDescent="0.25">
      <c r="D436" t="str">
        <f>IF(C436="","",VLOOKUP(A436,Projects!A:B,2,FALSE))</f>
        <v/>
      </c>
      <c r="E436" s="1" t="str">
        <f t="shared" si="60"/>
        <v/>
      </c>
      <c r="F436" t="str">
        <f t="shared" si="61"/>
        <v/>
      </c>
      <c r="G436" t="str">
        <f>IF(C436="","",ProcessUrl(E436,F436))</f>
        <v/>
      </c>
      <c r="H436" t="str">
        <f t="shared" si="62"/>
        <v/>
      </c>
      <c r="I436" t="str">
        <f t="shared" si="63"/>
        <v/>
      </c>
      <c r="J436" t="str">
        <f>IF(C436="","",ProcessUrl(H436,I436))</f>
        <v/>
      </c>
      <c r="K436" s="7" t="str">
        <f t="shared" si="64"/>
        <v/>
      </c>
      <c r="L436" s="7" t="str">
        <f t="shared" si="65"/>
        <v/>
      </c>
      <c r="M436" s="7" t="str">
        <f t="shared" si="66"/>
        <v/>
      </c>
      <c r="N436" s="7" t="str">
        <f t="shared" si="67"/>
        <v/>
      </c>
      <c r="O436" s="7" t="str">
        <f t="shared" si="68"/>
        <v/>
      </c>
      <c r="P436" t="str">
        <f t="shared" si="69"/>
        <v/>
      </c>
      <c r="Q436" t="str">
        <f>IF(C436="","",ProcessUrl(P436,"GetTestResults"))</f>
        <v/>
      </c>
      <c r="R436" s="10" t="str">
        <f>IF(C436="","",JsProcess("JsonItem",JsProcess("JsonItem",Q436,"Passed"),"count"))</f>
        <v/>
      </c>
      <c r="S436" s="10" t="str">
        <f>IF(C436="","",JsProcess("JsonItem",JsProcess("JsonItem",Q436,"NotExecuted"),"count"))</f>
        <v/>
      </c>
    </row>
    <row r="437" spans="4:19" x14ac:dyDescent="0.25">
      <c r="D437" t="str">
        <f>IF(C437="","",VLOOKUP(A437,Projects!A:B,2,FALSE))</f>
        <v/>
      </c>
      <c r="E437" s="1" t="str">
        <f t="shared" si="60"/>
        <v/>
      </c>
      <c r="F437" t="str">
        <f t="shared" si="61"/>
        <v/>
      </c>
      <c r="G437" t="str">
        <f>IF(C437="","",ProcessUrl(E437,F437))</f>
        <v/>
      </c>
      <c r="H437" t="str">
        <f t="shared" si="62"/>
        <v/>
      </c>
      <c r="I437" t="str">
        <f t="shared" si="63"/>
        <v/>
      </c>
      <c r="J437" t="str">
        <f>IF(C437="","",ProcessUrl(H437,I437))</f>
        <v/>
      </c>
      <c r="K437" s="7" t="str">
        <f t="shared" si="64"/>
        <v/>
      </c>
      <c r="L437" s="7" t="str">
        <f t="shared" si="65"/>
        <v/>
      </c>
      <c r="M437" s="7" t="str">
        <f t="shared" si="66"/>
        <v/>
      </c>
      <c r="N437" s="7" t="str">
        <f t="shared" si="67"/>
        <v/>
      </c>
      <c r="O437" s="7" t="str">
        <f t="shared" si="68"/>
        <v/>
      </c>
      <c r="P437" t="str">
        <f t="shared" si="69"/>
        <v/>
      </c>
      <c r="Q437" t="str">
        <f>IF(C437="","",ProcessUrl(P437,"GetTestResults"))</f>
        <v/>
      </c>
      <c r="R437" s="10" t="str">
        <f>IF(C437="","",JsProcess("JsonItem",JsProcess("JsonItem",Q437,"Passed"),"count"))</f>
        <v/>
      </c>
      <c r="S437" s="10" t="str">
        <f>IF(C437="","",JsProcess("JsonItem",JsProcess("JsonItem",Q437,"NotExecuted"),"count"))</f>
        <v/>
      </c>
    </row>
    <row r="438" spans="4:19" x14ac:dyDescent="0.25">
      <c r="D438" t="str">
        <f>IF(C438="","",VLOOKUP(A438,Projects!A:B,2,FALSE))</f>
        <v/>
      </c>
      <c r="E438" s="1" t="str">
        <f t="shared" si="60"/>
        <v/>
      </c>
      <c r="F438" t="str">
        <f t="shared" si="61"/>
        <v/>
      </c>
      <c r="G438" t="str">
        <f>IF(C438="","",ProcessUrl(E438,F438))</f>
        <v/>
      </c>
      <c r="H438" t="str">
        <f t="shared" si="62"/>
        <v/>
      </c>
      <c r="I438" t="str">
        <f t="shared" si="63"/>
        <v/>
      </c>
      <c r="J438" t="str">
        <f>IF(C438="","",ProcessUrl(H438,I438))</f>
        <v/>
      </c>
      <c r="K438" s="7" t="str">
        <f t="shared" si="64"/>
        <v/>
      </c>
      <c r="L438" s="7" t="str">
        <f t="shared" si="65"/>
        <v/>
      </c>
      <c r="M438" s="7" t="str">
        <f t="shared" si="66"/>
        <v/>
      </c>
      <c r="N438" s="7" t="str">
        <f t="shared" si="67"/>
        <v/>
      </c>
      <c r="O438" s="7" t="str">
        <f t="shared" si="68"/>
        <v/>
      </c>
      <c r="P438" t="str">
        <f t="shared" si="69"/>
        <v/>
      </c>
      <c r="Q438" t="str">
        <f>IF(C438="","",ProcessUrl(P438,"GetTestResults"))</f>
        <v/>
      </c>
      <c r="R438" s="10" t="str">
        <f>IF(C438="","",JsProcess("JsonItem",JsProcess("JsonItem",Q438,"Passed"),"count"))</f>
        <v/>
      </c>
      <c r="S438" s="10" t="str">
        <f>IF(C438="","",JsProcess("JsonItem",JsProcess("JsonItem",Q438,"NotExecuted"),"count"))</f>
        <v/>
      </c>
    </row>
    <row r="439" spans="4:19" x14ac:dyDescent="0.25">
      <c r="D439" t="str">
        <f>IF(C439="","",VLOOKUP(A439,Projects!A:B,2,FALSE))</f>
        <v/>
      </c>
      <c r="E439" s="1" t="str">
        <f t="shared" si="60"/>
        <v/>
      </c>
      <c r="F439" t="str">
        <f t="shared" si="61"/>
        <v/>
      </c>
      <c r="G439" t="str">
        <f>IF(C439="","",ProcessUrl(E439,F439))</f>
        <v/>
      </c>
      <c r="H439" t="str">
        <f t="shared" si="62"/>
        <v/>
      </c>
      <c r="I439" t="str">
        <f t="shared" si="63"/>
        <v/>
      </c>
      <c r="J439" t="str">
        <f>IF(C439="","",ProcessUrl(H439,I439))</f>
        <v/>
      </c>
      <c r="K439" s="7" t="str">
        <f t="shared" si="64"/>
        <v/>
      </c>
      <c r="L439" s="7" t="str">
        <f t="shared" si="65"/>
        <v/>
      </c>
      <c r="M439" s="7" t="str">
        <f t="shared" si="66"/>
        <v/>
      </c>
      <c r="N439" s="7" t="str">
        <f t="shared" si="67"/>
        <v/>
      </c>
      <c r="O439" s="7" t="str">
        <f t="shared" si="68"/>
        <v/>
      </c>
      <c r="P439" t="str">
        <f t="shared" si="69"/>
        <v/>
      </c>
      <c r="Q439" t="str">
        <f>IF(C439="","",ProcessUrl(P439,"GetTestResults"))</f>
        <v/>
      </c>
      <c r="R439" s="10" t="str">
        <f>IF(C439="","",JsProcess("JsonItem",JsProcess("JsonItem",Q439,"Passed"),"count"))</f>
        <v/>
      </c>
      <c r="S439" s="10" t="str">
        <f>IF(C439="","",JsProcess("JsonItem",JsProcess("JsonItem",Q439,"NotExecuted"),"count"))</f>
        <v/>
      </c>
    </row>
    <row r="440" spans="4:19" x14ac:dyDescent="0.25">
      <c r="D440" t="str">
        <f>IF(C440="","",VLOOKUP(A440,Projects!A:B,2,FALSE))</f>
        <v/>
      </c>
      <c r="E440" s="1" t="str">
        <f t="shared" si="60"/>
        <v/>
      </c>
      <c r="F440" t="str">
        <f t="shared" si="61"/>
        <v/>
      </c>
      <c r="G440" t="str">
        <f>IF(C440="","",ProcessUrl(E440,F440))</f>
        <v/>
      </c>
      <c r="H440" t="str">
        <f t="shared" si="62"/>
        <v/>
      </c>
      <c r="I440" t="str">
        <f t="shared" si="63"/>
        <v/>
      </c>
      <c r="J440" t="str">
        <f>IF(C440="","",ProcessUrl(H440,I440))</f>
        <v/>
      </c>
      <c r="K440" s="7" t="str">
        <f t="shared" si="64"/>
        <v/>
      </c>
      <c r="L440" s="7" t="str">
        <f t="shared" si="65"/>
        <v/>
      </c>
      <c r="M440" s="7" t="str">
        <f t="shared" si="66"/>
        <v/>
      </c>
      <c r="N440" s="7" t="str">
        <f t="shared" si="67"/>
        <v/>
      </c>
      <c r="O440" s="7" t="str">
        <f t="shared" si="68"/>
        <v/>
      </c>
      <c r="P440" t="str">
        <f t="shared" si="69"/>
        <v/>
      </c>
      <c r="Q440" t="str">
        <f>IF(C440="","",ProcessUrl(P440,"GetTestResults"))</f>
        <v/>
      </c>
      <c r="R440" s="10" t="str">
        <f>IF(C440="","",JsProcess("JsonItem",JsProcess("JsonItem",Q440,"Passed"),"count"))</f>
        <v/>
      </c>
      <c r="S440" s="10" t="str">
        <f>IF(C440="","",JsProcess("JsonItem",JsProcess("JsonItem",Q440,"NotExecuted"),"count"))</f>
        <v/>
      </c>
    </row>
    <row r="441" spans="4:19" x14ac:dyDescent="0.25">
      <c r="D441" t="str">
        <f>IF(C441="","",VLOOKUP(A441,Projects!A:B,2,FALSE))</f>
        <v/>
      </c>
      <c r="E441" s="1" t="str">
        <f t="shared" si="60"/>
        <v/>
      </c>
      <c r="F441" t="str">
        <f t="shared" si="61"/>
        <v/>
      </c>
      <c r="G441" t="str">
        <f>IF(C441="","",ProcessUrl(E441,F441))</f>
        <v/>
      </c>
      <c r="H441" t="str">
        <f t="shared" si="62"/>
        <v/>
      </c>
      <c r="I441" t="str">
        <f t="shared" si="63"/>
        <v/>
      </c>
      <c r="J441" t="str">
        <f>IF(C441="","",ProcessUrl(H441,I441))</f>
        <v/>
      </c>
      <c r="K441" s="7" t="str">
        <f t="shared" si="64"/>
        <v/>
      </c>
      <c r="L441" s="7" t="str">
        <f t="shared" si="65"/>
        <v/>
      </c>
      <c r="M441" s="7" t="str">
        <f t="shared" si="66"/>
        <v/>
      </c>
      <c r="N441" s="7" t="str">
        <f t="shared" si="67"/>
        <v/>
      </c>
      <c r="O441" s="7" t="str">
        <f t="shared" si="68"/>
        <v/>
      </c>
      <c r="P441" t="str">
        <f t="shared" si="69"/>
        <v/>
      </c>
      <c r="Q441" t="str">
        <f>IF(C441="","",ProcessUrl(P441,"GetTestResults"))</f>
        <v/>
      </c>
      <c r="R441" s="10" t="str">
        <f>IF(C441="","",JsProcess("JsonItem",JsProcess("JsonItem",Q441,"Passed"),"count"))</f>
        <v/>
      </c>
      <c r="S441" s="10" t="str">
        <f>IF(C441="","",JsProcess("JsonItem",JsProcess("JsonItem",Q441,"NotExecuted"),"count"))</f>
        <v/>
      </c>
    </row>
    <row r="442" spans="4:19" x14ac:dyDescent="0.25">
      <c r="D442" t="str">
        <f>IF(C442="","",VLOOKUP(A442,Projects!A:B,2,FALSE))</f>
        <v/>
      </c>
      <c r="E442" s="1" t="str">
        <f t="shared" si="60"/>
        <v/>
      </c>
      <c r="F442" t="str">
        <f t="shared" si="61"/>
        <v/>
      </c>
      <c r="G442" t="str">
        <f>IF(C442="","",ProcessUrl(E442,F442))</f>
        <v/>
      </c>
      <c r="H442" t="str">
        <f t="shared" si="62"/>
        <v/>
      </c>
      <c r="I442" t="str">
        <f t="shared" si="63"/>
        <v/>
      </c>
      <c r="J442" t="str">
        <f>IF(C442="","",ProcessUrl(H442,I442))</f>
        <v/>
      </c>
      <c r="K442" s="7" t="str">
        <f t="shared" si="64"/>
        <v/>
      </c>
      <c r="L442" s="7" t="str">
        <f t="shared" si="65"/>
        <v/>
      </c>
      <c r="M442" s="7" t="str">
        <f t="shared" si="66"/>
        <v/>
      </c>
      <c r="N442" s="7" t="str">
        <f t="shared" si="67"/>
        <v/>
      </c>
      <c r="O442" s="7" t="str">
        <f t="shared" si="68"/>
        <v/>
      </c>
      <c r="P442" t="str">
        <f t="shared" si="69"/>
        <v/>
      </c>
      <c r="Q442" t="str">
        <f>IF(C442="","",ProcessUrl(P442,"GetTestResults"))</f>
        <v/>
      </c>
      <c r="R442" s="10" t="str">
        <f>IF(C442="","",JsProcess("JsonItem",JsProcess("JsonItem",Q442,"Passed"),"count"))</f>
        <v/>
      </c>
      <c r="S442" s="10" t="str">
        <f>IF(C442="","",JsProcess("JsonItem",JsProcess("JsonItem",Q442,"NotExecuted"),"count"))</f>
        <v/>
      </c>
    </row>
    <row r="443" spans="4:19" x14ac:dyDescent="0.25">
      <c r="D443" t="str">
        <f>IF(C443="","",VLOOKUP(A443,Projects!A:B,2,FALSE))</f>
        <v/>
      </c>
      <c r="E443" s="1" t="str">
        <f t="shared" si="60"/>
        <v/>
      </c>
      <c r="F443" t="str">
        <f t="shared" si="61"/>
        <v/>
      </c>
      <c r="G443" t="str">
        <f>IF(C443="","",ProcessUrl(E443,F443))</f>
        <v/>
      </c>
      <c r="H443" t="str">
        <f t="shared" si="62"/>
        <v/>
      </c>
      <c r="I443" t="str">
        <f t="shared" si="63"/>
        <v/>
      </c>
      <c r="J443" t="str">
        <f>IF(C443="","",ProcessUrl(H443,I443))</f>
        <v/>
      </c>
      <c r="K443" s="7" t="str">
        <f t="shared" si="64"/>
        <v/>
      </c>
      <c r="L443" s="7" t="str">
        <f t="shared" si="65"/>
        <v/>
      </c>
      <c r="M443" s="7" t="str">
        <f t="shared" si="66"/>
        <v/>
      </c>
      <c r="N443" s="7" t="str">
        <f t="shared" si="67"/>
        <v/>
      </c>
      <c r="O443" s="7" t="str">
        <f t="shared" si="68"/>
        <v/>
      </c>
      <c r="P443" t="str">
        <f t="shared" si="69"/>
        <v/>
      </c>
      <c r="Q443" t="str">
        <f>IF(C443="","",ProcessUrl(P443,"GetTestResults"))</f>
        <v/>
      </c>
      <c r="R443" s="10" t="str">
        <f>IF(C443="","",JsProcess("JsonItem",JsProcess("JsonItem",Q443,"Passed"),"count"))</f>
        <v/>
      </c>
      <c r="S443" s="10" t="str">
        <f>IF(C443="","",JsProcess("JsonItem",JsProcess("JsonItem",Q443,"NotExecuted"),"count"))</f>
        <v/>
      </c>
    </row>
    <row r="444" spans="4:19" x14ac:dyDescent="0.25">
      <c r="D444" t="str">
        <f>IF(C444="","",VLOOKUP(A444,Projects!A:B,2,FALSE))</f>
        <v/>
      </c>
      <c r="E444" s="1" t="str">
        <f t="shared" si="60"/>
        <v/>
      </c>
      <c r="F444" t="str">
        <f t="shared" si="61"/>
        <v/>
      </c>
      <c r="G444" t="str">
        <f>IF(C444="","",ProcessUrl(E444,F444))</f>
        <v/>
      </c>
      <c r="H444" t="str">
        <f t="shared" si="62"/>
        <v/>
      </c>
      <c r="I444" t="str">
        <f t="shared" si="63"/>
        <v/>
      </c>
      <c r="J444" t="str">
        <f>IF(C444="","",ProcessUrl(H444,I444))</f>
        <v/>
      </c>
      <c r="K444" s="7" t="str">
        <f t="shared" si="64"/>
        <v/>
      </c>
      <c r="L444" s="7" t="str">
        <f t="shared" si="65"/>
        <v/>
      </c>
      <c r="M444" s="7" t="str">
        <f t="shared" si="66"/>
        <v/>
      </c>
      <c r="N444" s="7" t="str">
        <f t="shared" si="67"/>
        <v/>
      </c>
      <c r="O444" s="7" t="str">
        <f t="shared" si="68"/>
        <v/>
      </c>
      <c r="P444" t="str">
        <f t="shared" si="69"/>
        <v/>
      </c>
      <c r="Q444" t="str">
        <f>IF(C444="","",ProcessUrl(P444,"GetTestResults"))</f>
        <v/>
      </c>
      <c r="R444" s="10" t="str">
        <f>IF(C444="","",JsProcess("JsonItem",JsProcess("JsonItem",Q444,"Passed"),"count"))</f>
        <v/>
      </c>
      <c r="S444" s="10" t="str">
        <f>IF(C444="","",JsProcess("JsonItem",JsProcess("JsonItem",Q444,"NotExecuted"),"count"))</f>
        <v/>
      </c>
    </row>
    <row r="445" spans="4:19" x14ac:dyDescent="0.25">
      <c r="D445" t="str">
        <f>IF(C445="","",VLOOKUP(A445,Projects!A:B,2,FALSE))</f>
        <v/>
      </c>
      <c r="E445" s="1" t="str">
        <f t="shared" si="60"/>
        <v/>
      </c>
      <c r="F445" t="str">
        <f t="shared" si="61"/>
        <v/>
      </c>
      <c r="G445" t="str">
        <f>IF(C445="","",ProcessUrl(E445,F445))</f>
        <v/>
      </c>
      <c r="H445" t="str">
        <f t="shared" si="62"/>
        <v/>
      </c>
      <c r="I445" t="str">
        <f t="shared" si="63"/>
        <v/>
      </c>
      <c r="J445" t="str">
        <f>IF(C445="","",ProcessUrl(H445,I445))</f>
        <v/>
      </c>
      <c r="K445" s="7" t="str">
        <f t="shared" si="64"/>
        <v/>
      </c>
      <c r="L445" s="7" t="str">
        <f t="shared" si="65"/>
        <v/>
      </c>
      <c r="M445" s="7" t="str">
        <f t="shared" si="66"/>
        <v/>
      </c>
      <c r="N445" s="7" t="str">
        <f t="shared" si="67"/>
        <v/>
      </c>
      <c r="O445" s="7" t="str">
        <f t="shared" si="68"/>
        <v/>
      </c>
      <c r="P445" t="str">
        <f t="shared" si="69"/>
        <v/>
      </c>
      <c r="Q445" t="str">
        <f>IF(C445="","",ProcessUrl(P445,"GetTestResults"))</f>
        <v/>
      </c>
      <c r="R445" s="10" t="str">
        <f>IF(C445="","",JsProcess("JsonItem",JsProcess("JsonItem",Q445,"Passed"),"count"))</f>
        <v/>
      </c>
      <c r="S445" s="10" t="str">
        <f>IF(C445="","",JsProcess("JsonItem",JsProcess("JsonItem",Q445,"NotExecuted"),"count"))</f>
        <v/>
      </c>
    </row>
    <row r="446" spans="4:19" x14ac:dyDescent="0.25">
      <c r="D446" t="str">
        <f>IF(C446="","",VLOOKUP(A446,Projects!A:B,2,FALSE))</f>
        <v/>
      </c>
      <c r="E446" s="1" t="str">
        <f t="shared" si="60"/>
        <v/>
      </c>
      <c r="F446" t="str">
        <f t="shared" si="61"/>
        <v/>
      </c>
      <c r="G446" t="str">
        <f>IF(C446="","",ProcessUrl(E446,F446))</f>
        <v/>
      </c>
      <c r="H446" t="str">
        <f t="shared" si="62"/>
        <v/>
      </c>
      <c r="I446" t="str">
        <f t="shared" si="63"/>
        <v/>
      </c>
      <c r="J446" t="str">
        <f>IF(C446="","",ProcessUrl(H446,I446))</f>
        <v/>
      </c>
      <c r="K446" s="7" t="str">
        <f t="shared" si="64"/>
        <v/>
      </c>
      <c r="L446" s="7" t="str">
        <f t="shared" si="65"/>
        <v/>
      </c>
      <c r="M446" s="7" t="str">
        <f t="shared" si="66"/>
        <v/>
      </c>
      <c r="N446" s="7" t="str">
        <f t="shared" si="67"/>
        <v/>
      </c>
      <c r="O446" s="7" t="str">
        <f t="shared" si="68"/>
        <v/>
      </c>
      <c r="P446" t="str">
        <f t="shared" si="69"/>
        <v/>
      </c>
      <c r="Q446" t="str">
        <f>IF(C446="","",ProcessUrl(P446,"GetTestResults"))</f>
        <v/>
      </c>
      <c r="R446" s="10" t="str">
        <f>IF(C446="","",JsProcess("JsonItem",JsProcess("JsonItem",Q446,"Passed"),"count"))</f>
        <v/>
      </c>
      <c r="S446" s="10" t="str">
        <f>IF(C446="","",JsProcess("JsonItem",JsProcess("JsonItem",Q446,"NotExecuted"),"count"))</f>
        <v/>
      </c>
    </row>
    <row r="447" spans="4:19" x14ac:dyDescent="0.25">
      <c r="D447" t="str">
        <f>IF(C447="","",VLOOKUP(A447,Projects!A:B,2,FALSE))</f>
        <v/>
      </c>
      <c r="E447" s="1" t="str">
        <f t="shared" si="60"/>
        <v/>
      </c>
      <c r="F447" t="str">
        <f t="shared" si="61"/>
        <v/>
      </c>
      <c r="G447" t="str">
        <f>IF(C447="","",ProcessUrl(E447,F447))</f>
        <v/>
      </c>
      <c r="H447" t="str">
        <f t="shared" si="62"/>
        <v/>
      </c>
      <c r="I447" t="str">
        <f t="shared" si="63"/>
        <v/>
      </c>
      <c r="J447" t="str">
        <f>IF(C447="","",ProcessUrl(H447,I447))</f>
        <v/>
      </c>
      <c r="K447" s="7" t="str">
        <f t="shared" si="64"/>
        <v/>
      </c>
      <c r="L447" s="7" t="str">
        <f t="shared" si="65"/>
        <v/>
      </c>
      <c r="M447" s="7" t="str">
        <f t="shared" si="66"/>
        <v/>
      </c>
      <c r="N447" s="7" t="str">
        <f t="shared" si="67"/>
        <v/>
      </c>
      <c r="O447" s="7" t="str">
        <f t="shared" si="68"/>
        <v/>
      </c>
      <c r="P447" t="str">
        <f t="shared" si="69"/>
        <v/>
      </c>
      <c r="Q447" t="str">
        <f>IF(C447="","",ProcessUrl(P447,"GetTestResults"))</f>
        <v/>
      </c>
      <c r="R447" s="10" t="str">
        <f>IF(C447="","",JsProcess("JsonItem",JsProcess("JsonItem",Q447,"Passed"),"count"))</f>
        <v/>
      </c>
      <c r="S447" s="10" t="str">
        <f>IF(C447="","",JsProcess("JsonItem",JsProcess("JsonItem",Q447,"NotExecuted"),"count"))</f>
        <v/>
      </c>
    </row>
    <row r="448" spans="4:19" x14ac:dyDescent="0.25">
      <c r="D448" t="str">
        <f>IF(C448="","",VLOOKUP(A448,Projects!A:B,2,FALSE))</f>
        <v/>
      </c>
      <c r="E448" s="1" t="str">
        <f t="shared" si="60"/>
        <v/>
      </c>
      <c r="F448" t="str">
        <f t="shared" si="61"/>
        <v/>
      </c>
      <c r="G448" t="str">
        <f>IF(C448="","",ProcessUrl(E448,F448))</f>
        <v/>
      </c>
      <c r="H448" t="str">
        <f t="shared" si="62"/>
        <v/>
      </c>
      <c r="I448" t="str">
        <f t="shared" si="63"/>
        <v/>
      </c>
      <c r="J448" t="str">
        <f>IF(C448="","",ProcessUrl(H448,I448))</f>
        <v/>
      </c>
      <c r="K448" s="7" t="str">
        <f t="shared" si="64"/>
        <v/>
      </c>
      <c r="L448" s="7" t="str">
        <f t="shared" si="65"/>
        <v/>
      </c>
      <c r="M448" s="7" t="str">
        <f t="shared" si="66"/>
        <v/>
      </c>
      <c r="N448" s="7" t="str">
        <f t="shared" si="67"/>
        <v/>
      </c>
      <c r="O448" s="7" t="str">
        <f t="shared" si="68"/>
        <v/>
      </c>
      <c r="P448" t="str">
        <f t="shared" si="69"/>
        <v/>
      </c>
      <c r="Q448" t="str">
        <f>IF(C448="","",ProcessUrl(P448,"GetTestResults"))</f>
        <v/>
      </c>
      <c r="R448" s="10" t="str">
        <f>IF(C448="","",JsProcess("JsonItem",JsProcess("JsonItem",Q448,"Passed"),"count"))</f>
        <v/>
      </c>
      <c r="S448" s="10" t="str">
        <f>IF(C448="","",JsProcess("JsonItem",JsProcess("JsonItem",Q448,"NotExecuted"),"count"))</f>
        <v/>
      </c>
    </row>
    <row r="449" spans="4:19" x14ac:dyDescent="0.25">
      <c r="D449" t="str">
        <f>IF(C449="","",VLOOKUP(A449,Projects!A:B,2,FALSE))</f>
        <v/>
      </c>
      <c r="E449" s="1" t="str">
        <f t="shared" si="60"/>
        <v/>
      </c>
      <c r="F449" t="str">
        <f t="shared" si="61"/>
        <v/>
      </c>
      <c r="G449" t="str">
        <f>IF(C449="","",ProcessUrl(E449,F449))</f>
        <v/>
      </c>
      <c r="H449" t="str">
        <f t="shared" si="62"/>
        <v/>
      </c>
      <c r="I449" t="str">
        <f t="shared" si="63"/>
        <v/>
      </c>
      <c r="J449" t="str">
        <f>IF(C449="","",ProcessUrl(H449,I449))</f>
        <v/>
      </c>
      <c r="K449" s="7" t="str">
        <f t="shared" si="64"/>
        <v/>
      </c>
      <c r="L449" s="7" t="str">
        <f t="shared" si="65"/>
        <v/>
      </c>
      <c r="M449" s="7" t="str">
        <f t="shared" si="66"/>
        <v/>
      </c>
      <c r="N449" s="7" t="str">
        <f t="shared" si="67"/>
        <v/>
      </c>
      <c r="O449" s="7" t="str">
        <f t="shared" si="68"/>
        <v/>
      </c>
      <c r="P449" t="str">
        <f t="shared" si="69"/>
        <v/>
      </c>
      <c r="Q449" t="str">
        <f>IF(C449="","",ProcessUrl(P449,"GetTestResults"))</f>
        <v/>
      </c>
      <c r="R449" s="10" t="str">
        <f>IF(C449="","",JsProcess("JsonItem",JsProcess("JsonItem",Q449,"Passed"),"count"))</f>
        <v/>
      </c>
      <c r="S449" s="10" t="str">
        <f>IF(C449="","",JsProcess("JsonItem",JsProcess("JsonItem",Q449,"NotExecuted"),"count"))</f>
        <v/>
      </c>
    </row>
    <row r="450" spans="4:19" x14ac:dyDescent="0.25">
      <c r="D450" t="str">
        <f>IF(C450="","",VLOOKUP(A450,Projects!A:B,2,FALSE))</f>
        <v/>
      </c>
      <c r="E450" s="1" t="str">
        <f t="shared" si="60"/>
        <v/>
      </c>
      <c r="F450" t="str">
        <f t="shared" si="61"/>
        <v/>
      </c>
      <c r="G450" t="str">
        <f>IF(C450="","",ProcessUrl(E450,F450))</f>
        <v/>
      </c>
      <c r="H450" t="str">
        <f t="shared" si="62"/>
        <v/>
      </c>
      <c r="I450" t="str">
        <f t="shared" si="63"/>
        <v/>
      </c>
      <c r="J450" t="str">
        <f>IF(C450="","",ProcessUrl(H450,I450))</f>
        <v/>
      </c>
      <c r="K450" s="7" t="str">
        <f t="shared" si="64"/>
        <v/>
      </c>
      <c r="L450" s="7" t="str">
        <f t="shared" si="65"/>
        <v/>
      </c>
      <c r="M450" s="7" t="str">
        <f t="shared" si="66"/>
        <v/>
      </c>
      <c r="N450" s="7" t="str">
        <f t="shared" si="67"/>
        <v/>
      </c>
      <c r="O450" s="7" t="str">
        <f t="shared" si="68"/>
        <v/>
      </c>
      <c r="P450" t="str">
        <f t="shared" si="69"/>
        <v/>
      </c>
      <c r="Q450" t="str">
        <f>IF(C450="","",ProcessUrl(P450,"GetTestResults"))</f>
        <v/>
      </c>
      <c r="R450" s="10" t="str">
        <f>IF(C450="","",JsProcess("JsonItem",JsProcess("JsonItem",Q450,"Passed"),"count"))</f>
        <v/>
      </c>
      <c r="S450" s="10" t="str">
        <f>IF(C450="","",JsProcess("JsonItem",JsProcess("JsonItem",Q450,"NotExecuted"),"count"))</f>
        <v/>
      </c>
    </row>
    <row r="451" spans="4:19" x14ac:dyDescent="0.25">
      <c r="D451" t="str">
        <f>IF(C451="","",VLOOKUP(A451,Projects!A:B,2,FALSE))</f>
        <v/>
      </c>
      <c r="E451" s="1" t="str">
        <f t="shared" si="60"/>
        <v/>
      </c>
      <c r="F451" t="str">
        <f t="shared" si="61"/>
        <v/>
      </c>
      <c r="G451" t="str">
        <f>IF(C451="","",ProcessUrl(E451,F451))</f>
        <v/>
      </c>
      <c r="H451" t="str">
        <f t="shared" si="62"/>
        <v/>
      </c>
      <c r="I451" t="str">
        <f t="shared" si="63"/>
        <v/>
      </c>
      <c r="J451" t="str">
        <f>IF(C451="","",ProcessUrl(H451,I451))</f>
        <v/>
      </c>
      <c r="K451" s="7" t="str">
        <f t="shared" si="64"/>
        <v/>
      </c>
      <c r="L451" s="7" t="str">
        <f t="shared" si="65"/>
        <v/>
      </c>
      <c r="M451" s="7" t="str">
        <f t="shared" si="66"/>
        <v/>
      </c>
      <c r="N451" s="7" t="str">
        <f t="shared" si="67"/>
        <v/>
      </c>
      <c r="O451" s="7" t="str">
        <f t="shared" si="68"/>
        <v/>
      </c>
      <c r="P451" t="str">
        <f t="shared" si="69"/>
        <v/>
      </c>
      <c r="Q451" t="str">
        <f>IF(C451="","",ProcessUrl(P451,"GetTestResults"))</f>
        <v/>
      </c>
      <c r="R451" s="10" t="str">
        <f>IF(C451="","",JsProcess("JsonItem",JsProcess("JsonItem",Q451,"Passed"),"count"))</f>
        <v/>
      </c>
      <c r="S451" s="10" t="str">
        <f>IF(C451="","",JsProcess("JsonItem",JsProcess("JsonItem",Q451,"NotExecuted"),"count"))</f>
        <v/>
      </c>
    </row>
    <row r="452" spans="4:19" x14ac:dyDescent="0.25">
      <c r="D452" t="str">
        <f>IF(C452="","",VLOOKUP(A452,Projects!A:B,2,FALSE))</f>
        <v/>
      </c>
      <c r="E452" s="1" t="str">
        <f t="shared" ref="E452:E499" si="70">IF(C452="","","http://tfs.ttx.com:8080/tfs/DefaultCollection/"&amp;D452&amp;"/_apis/build/Builds?%24top=25&amp;statusFilter=2&amp;definitions="&amp;C452)</f>
        <v/>
      </c>
      <c r="F452" t="str">
        <f t="shared" ref="F452:F499" si="71">IF(C452="","","GetRecentBuildId")</f>
        <v/>
      </c>
      <c r="G452" t="str">
        <f>IF(C452="","",ProcessUrl(E452,F452))</f>
        <v/>
      </c>
      <c r="H452" t="str">
        <f t="shared" ref="H452:H499" si="72">IF(C452="","","http://tfs.ttx.com:8080/tfs/DefaultCollection/"&amp;D452&amp;"/_apis/test/CodeCoverage?buildId="&amp;G452&amp;"&amp;flags=1")</f>
        <v/>
      </c>
      <c r="I452" t="str">
        <f t="shared" ref="I452:I499" si="73">IF(C452="","","GetCodeCoverage")</f>
        <v/>
      </c>
      <c r="J452" t="str">
        <f>IF(C452="","",ProcessUrl(H452,I452))</f>
        <v/>
      </c>
      <c r="K452" s="7" t="str">
        <f t="shared" ref="K452:K499" si="74">IF(C452="","",JsProcess("JsonItem",J452,"blocksCovered"))</f>
        <v/>
      </c>
      <c r="L452" s="7" t="str">
        <f t="shared" ref="L452:L499" si="75">IF(C452="","",JsProcess("JsonItem",J452,"blocksNotCovered"))</f>
        <v/>
      </c>
      <c r="M452" s="7" t="str">
        <f t="shared" ref="M452:M499" si="76">IF(C452="","",JsProcess("JsonItem",J452,"linesCovered"))</f>
        <v/>
      </c>
      <c r="N452" s="7" t="str">
        <f t="shared" ref="N452:N499" si="77">IF(C452="","",JsProcess("JsonItem",J452,"linesNotCovered"))</f>
        <v/>
      </c>
      <c r="O452" s="7" t="str">
        <f t="shared" ref="O452:O499" si="78">IF(C452="","",JsProcess("JsonItem",J452,"linesPartiallyCovered"))</f>
        <v/>
      </c>
      <c r="P452" t="str">
        <f t="shared" ref="P452:P499" si="79">IF(C452="","","http://tfs.ttx.com:8080/tfs/DefaultCollection/"&amp;A452&amp;"/_apis/test/ReportForBuild/"&amp;G452&amp;"?sourceWorkflow=CI&amp;includeFailureDetails=true ")</f>
        <v/>
      </c>
      <c r="Q452" t="str">
        <f>IF(C452="","",ProcessUrl(P452,"GetTestResults"))</f>
        <v/>
      </c>
      <c r="R452" s="10" t="str">
        <f>IF(C452="","",JsProcess("JsonItem",JsProcess("JsonItem",Q452,"Passed"),"count"))</f>
        <v/>
      </c>
      <c r="S452" s="10" t="str">
        <f>IF(C452="","",JsProcess("JsonItem",JsProcess("JsonItem",Q452,"NotExecuted"),"count"))</f>
        <v/>
      </c>
    </row>
    <row r="453" spans="4:19" x14ac:dyDescent="0.25">
      <c r="D453" t="str">
        <f>IF(C453="","",VLOOKUP(A453,Projects!A:B,2,FALSE))</f>
        <v/>
      </c>
      <c r="E453" s="1" t="str">
        <f t="shared" si="70"/>
        <v/>
      </c>
      <c r="F453" t="str">
        <f t="shared" si="71"/>
        <v/>
      </c>
      <c r="G453" t="str">
        <f>IF(C453="","",ProcessUrl(E453,F453))</f>
        <v/>
      </c>
      <c r="H453" t="str">
        <f t="shared" si="72"/>
        <v/>
      </c>
      <c r="I453" t="str">
        <f t="shared" si="73"/>
        <v/>
      </c>
      <c r="J453" t="str">
        <f>IF(C453="","",ProcessUrl(H453,I453))</f>
        <v/>
      </c>
      <c r="K453" s="7" t="str">
        <f t="shared" si="74"/>
        <v/>
      </c>
      <c r="L453" s="7" t="str">
        <f t="shared" si="75"/>
        <v/>
      </c>
      <c r="M453" s="7" t="str">
        <f t="shared" si="76"/>
        <v/>
      </c>
      <c r="N453" s="7" t="str">
        <f t="shared" si="77"/>
        <v/>
      </c>
      <c r="O453" s="7" t="str">
        <f t="shared" si="78"/>
        <v/>
      </c>
      <c r="P453" t="str">
        <f t="shared" si="79"/>
        <v/>
      </c>
      <c r="Q453" t="str">
        <f>IF(C453="","",ProcessUrl(P453,"GetTestResults"))</f>
        <v/>
      </c>
      <c r="R453" s="10" t="str">
        <f>IF(C453="","",JsProcess("JsonItem",JsProcess("JsonItem",Q453,"Passed"),"count"))</f>
        <v/>
      </c>
      <c r="S453" s="10" t="str">
        <f>IF(C453="","",JsProcess("JsonItem",JsProcess("JsonItem",Q453,"NotExecuted"),"count"))</f>
        <v/>
      </c>
    </row>
    <row r="454" spans="4:19" x14ac:dyDescent="0.25">
      <c r="D454" t="str">
        <f>IF(C454="","",VLOOKUP(A454,Projects!A:B,2,FALSE))</f>
        <v/>
      </c>
      <c r="E454" s="1" t="str">
        <f t="shared" si="70"/>
        <v/>
      </c>
      <c r="F454" t="str">
        <f t="shared" si="71"/>
        <v/>
      </c>
      <c r="G454" t="str">
        <f>IF(C454="","",ProcessUrl(E454,F454))</f>
        <v/>
      </c>
      <c r="H454" t="str">
        <f t="shared" si="72"/>
        <v/>
      </c>
      <c r="I454" t="str">
        <f t="shared" si="73"/>
        <v/>
      </c>
      <c r="J454" t="str">
        <f>IF(C454="","",ProcessUrl(H454,I454))</f>
        <v/>
      </c>
      <c r="K454" s="7" t="str">
        <f t="shared" si="74"/>
        <v/>
      </c>
      <c r="L454" s="7" t="str">
        <f t="shared" si="75"/>
        <v/>
      </c>
      <c r="M454" s="7" t="str">
        <f t="shared" si="76"/>
        <v/>
      </c>
      <c r="N454" s="7" t="str">
        <f t="shared" si="77"/>
        <v/>
      </c>
      <c r="O454" s="7" t="str">
        <f t="shared" si="78"/>
        <v/>
      </c>
      <c r="P454" t="str">
        <f t="shared" si="79"/>
        <v/>
      </c>
      <c r="Q454" t="str">
        <f>IF(C454="","",ProcessUrl(P454,"GetTestResults"))</f>
        <v/>
      </c>
      <c r="R454" s="10" t="str">
        <f>IF(C454="","",JsProcess("JsonItem",JsProcess("JsonItem",Q454,"Passed"),"count"))</f>
        <v/>
      </c>
      <c r="S454" s="10" t="str">
        <f>IF(C454="","",JsProcess("JsonItem",JsProcess("JsonItem",Q454,"NotExecuted"),"count"))</f>
        <v/>
      </c>
    </row>
    <row r="455" spans="4:19" x14ac:dyDescent="0.25">
      <c r="D455" t="str">
        <f>IF(C455="","",VLOOKUP(A455,Projects!A:B,2,FALSE))</f>
        <v/>
      </c>
      <c r="E455" s="1" t="str">
        <f t="shared" si="70"/>
        <v/>
      </c>
      <c r="F455" t="str">
        <f t="shared" si="71"/>
        <v/>
      </c>
      <c r="G455" t="str">
        <f>IF(C455="","",ProcessUrl(E455,F455))</f>
        <v/>
      </c>
      <c r="H455" t="str">
        <f t="shared" si="72"/>
        <v/>
      </c>
      <c r="I455" t="str">
        <f t="shared" si="73"/>
        <v/>
      </c>
      <c r="J455" t="str">
        <f>IF(C455="","",ProcessUrl(H455,I455))</f>
        <v/>
      </c>
      <c r="K455" s="7" t="str">
        <f t="shared" si="74"/>
        <v/>
      </c>
      <c r="L455" s="7" t="str">
        <f t="shared" si="75"/>
        <v/>
      </c>
      <c r="M455" s="7" t="str">
        <f t="shared" si="76"/>
        <v/>
      </c>
      <c r="N455" s="7" t="str">
        <f t="shared" si="77"/>
        <v/>
      </c>
      <c r="O455" s="7" t="str">
        <f t="shared" si="78"/>
        <v/>
      </c>
      <c r="P455" t="str">
        <f t="shared" si="79"/>
        <v/>
      </c>
      <c r="Q455" t="str">
        <f>IF(C455="","",ProcessUrl(P455,"GetTestResults"))</f>
        <v/>
      </c>
      <c r="R455" s="10" t="str">
        <f>IF(C455="","",JsProcess("JsonItem",JsProcess("JsonItem",Q455,"Passed"),"count"))</f>
        <v/>
      </c>
      <c r="S455" s="10" t="str">
        <f>IF(C455="","",JsProcess("JsonItem",JsProcess("JsonItem",Q455,"NotExecuted"),"count"))</f>
        <v/>
      </c>
    </row>
    <row r="456" spans="4:19" x14ac:dyDescent="0.25">
      <c r="D456" t="str">
        <f>IF(C456="","",VLOOKUP(A456,Projects!A:B,2,FALSE))</f>
        <v/>
      </c>
      <c r="E456" s="1" t="str">
        <f t="shared" si="70"/>
        <v/>
      </c>
      <c r="F456" t="str">
        <f t="shared" si="71"/>
        <v/>
      </c>
      <c r="G456" t="str">
        <f>IF(C456="","",ProcessUrl(E456,F456))</f>
        <v/>
      </c>
      <c r="H456" t="str">
        <f t="shared" si="72"/>
        <v/>
      </c>
      <c r="I456" t="str">
        <f t="shared" si="73"/>
        <v/>
      </c>
      <c r="J456" t="str">
        <f>IF(C456="","",ProcessUrl(H456,I456))</f>
        <v/>
      </c>
      <c r="K456" s="7" t="str">
        <f t="shared" si="74"/>
        <v/>
      </c>
      <c r="L456" s="7" t="str">
        <f t="shared" si="75"/>
        <v/>
      </c>
      <c r="M456" s="7" t="str">
        <f t="shared" si="76"/>
        <v/>
      </c>
      <c r="N456" s="7" t="str">
        <f t="shared" si="77"/>
        <v/>
      </c>
      <c r="O456" s="7" t="str">
        <f t="shared" si="78"/>
        <v/>
      </c>
      <c r="P456" t="str">
        <f t="shared" si="79"/>
        <v/>
      </c>
      <c r="Q456" t="str">
        <f>IF(C456="","",ProcessUrl(P456,"GetTestResults"))</f>
        <v/>
      </c>
      <c r="R456" s="10" t="str">
        <f>IF(C456="","",JsProcess("JsonItem",JsProcess("JsonItem",Q456,"Passed"),"count"))</f>
        <v/>
      </c>
      <c r="S456" s="10" t="str">
        <f>IF(C456="","",JsProcess("JsonItem",JsProcess("JsonItem",Q456,"NotExecuted"),"count"))</f>
        <v/>
      </c>
    </row>
    <row r="457" spans="4:19" x14ac:dyDescent="0.25">
      <c r="D457" t="str">
        <f>IF(C457="","",VLOOKUP(A457,Projects!A:B,2,FALSE))</f>
        <v/>
      </c>
      <c r="E457" s="1" t="str">
        <f t="shared" si="70"/>
        <v/>
      </c>
      <c r="F457" t="str">
        <f t="shared" si="71"/>
        <v/>
      </c>
      <c r="G457" t="str">
        <f>IF(C457="","",ProcessUrl(E457,F457))</f>
        <v/>
      </c>
      <c r="H457" t="str">
        <f t="shared" si="72"/>
        <v/>
      </c>
      <c r="I457" t="str">
        <f t="shared" si="73"/>
        <v/>
      </c>
      <c r="J457" t="str">
        <f>IF(C457="","",ProcessUrl(H457,I457))</f>
        <v/>
      </c>
      <c r="K457" s="7" t="str">
        <f t="shared" si="74"/>
        <v/>
      </c>
      <c r="L457" s="7" t="str">
        <f t="shared" si="75"/>
        <v/>
      </c>
      <c r="M457" s="7" t="str">
        <f t="shared" si="76"/>
        <v/>
      </c>
      <c r="N457" s="7" t="str">
        <f t="shared" si="77"/>
        <v/>
      </c>
      <c r="O457" s="7" t="str">
        <f t="shared" si="78"/>
        <v/>
      </c>
      <c r="P457" t="str">
        <f t="shared" si="79"/>
        <v/>
      </c>
      <c r="Q457" t="str">
        <f>IF(C457="","",ProcessUrl(P457,"GetTestResults"))</f>
        <v/>
      </c>
      <c r="R457" s="10" t="str">
        <f>IF(C457="","",JsProcess("JsonItem",JsProcess("JsonItem",Q457,"Passed"),"count"))</f>
        <v/>
      </c>
      <c r="S457" s="10" t="str">
        <f>IF(C457="","",JsProcess("JsonItem",JsProcess("JsonItem",Q457,"NotExecuted"),"count"))</f>
        <v/>
      </c>
    </row>
    <row r="458" spans="4:19" x14ac:dyDescent="0.25">
      <c r="D458" t="str">
        <f>IF(C458="","",VLOOKUP(A458,Projects!A:B,2,FALSE))</f>
        <v/>
      </c>
      <c r="E458" s="1" t="str">
        <f t="shared" si="70"/>
        <v/>
      </c>
      <c r="F458" t="str">
        <f t="shared" si="71"/>
        <v/>
      </c>
      <c r="G458" t="str">
        <f>IF(C458="","",ProcessUrl(E458,F458))</f>
        <v/>
      </c>
      <c r="H458" t="str">
        <f t="shared" si="72"/>
        <v/>
      </c>
      <c r="I458" t="str">
        <f t="shared" si="73"/>
        <v/>
      </c>
      <c r="J458" t="str">
        <f>IF(C458="","",ProcessUrl(H458,I458))</f>
        <v/>
      </c>
      <c r="K458" s="7" t="str">
        <f t="shared" si="74"/>
        <v/>
      </c>
      <c r="L458" s="7" t="str">
        <f t="shared" si="75"/>
        <v/>
      </c>
      <c r="M458" s="7" t="str">
        <f t="shared" si="76"/>
        <v/>
      </c>
      <c r="N458" s="7" t="str">
        <f t="shared" si="77"/>
        <v/>
      </c>
      <c r="O458" s="7" t="str">
        <f t="shared" si="78"/>
        <v/>
      </c>
      <c r="P458" t="str">
        <f t="shared" si="79"/>
        <v/>
      </c>
      <c r="Q458" t="str">
        <f>IF(C458="","",ProcessUrl(P458,"GetTestResults"))</f>
        <v/>
      </c>
      <c r="R458" s="10" t="str">
        <f>IF(C458="","",JsProcess("JsonItem",JsProcess("JsonItem",Q458,"Passed"),"count"))</f>
        <v/>
      </c>
      <c r="S458" s="10" t="str">
        <f>IF(C458="","",JsProcess("JsonItem",JsProcess("JsonItem",Q458,"NotExecuted"),"count"))</f>
        <v/>
      </c>
    </row>
    <row r="459" spans="4:19" x14ac:dyDescent="0.25">
      <c r="D459" t="str">
        <f>IF(C459="","",VLOOKUP(A459,Projects!A:B,2,FALSE))</f>
        <v/>
      </c>
      <c r="E459" s="1" t="str">
        <f t="shared" si="70"/>
        <v/>
      </c>
      <c r="F459" t="str">
        <f t="shared" si="71"/>
        <v/>
      </c>
      <c r="G459" t="str">
        <f>IF(C459="","",ProcessUrl(E459,F459))</f>
        <v/>
      </c>
      <c r="H459" t="str">
        <f t="shared" si="72"/>
        <v/>
      </c>
      <c r="I459" t="str">
        <f t="shared" si="73"/>
        <v/>
      </c>
      <c r="J459" t="str">
        <f>IF(C459="","",ProcessUrl(H459,I459))</f>
        <v/>
      </c>
      <c r="K459" s="7" t="str">
        <f t="shared" si="74"/>
        <v/>
      </c>
      <c r="L459" s="7" t="str">
        <f t="shared" si="75"/>
        <v/>
      </c>
      <c r="M459" s="7" t="str">
        <f t="shared" si="76"/>
        <v/>
      </c>
      <c r="N459" s="7" t="str">
        <f t="shared" si="77"/>
        <v/>
      </c>
      <c r="O459" s="7" t="str">
        <f t="shared" si="78"/>
        <v/>
      </c>
      <c r="P459" t="str">
        <f t="shared" si="79"/>
        <v/>
      </c>
      <c r="Q459" t="str">
        <f>IF(C459="","",ProcessUrl(P459,"GetTestResults"))</f>
        <v/>
      </c>
      <c r="R459" s="10" t="str">
        <f>IF(C459="","",JsProcess("JsonItem",JsProcess("JsonItem",Q459,"Passed"),"count"))</f>
        <v/>
      </c>
      <c r="S459" s="10" t="str">
        <f>IF(C459="","",JsProcess("JsonItem",JsProcess("JsonItem",Q459,"NotExecuted"),"count"))</f>
        <v/>
      </c>
    </row>
    <row r="460" spans="4:19" x14ac:dyDescent="0.25">
      <c r="D460" t="str">
        <f>IF(C460="","",VLOOKUP(A460,Projects!A:B,2,FALSE))</f>
        <v/>
      </c>
      <c r="E460" s="1" t="str">
        <f t="shared" si="70"/>
        <v/>
      </c>
      <c r="F460" t="str">
        <f t="shared" si="71"/>
        <v/>
      </c>
      <c r="G460" t="str">
        <f>IF(C460="","",ProcessUrl(E460,F460))</f>
        <v/>
      </c>
      <c r="H460" t="str">
        <f t="shared" si="72"/>
        <v/>
      </c>
      <c r="I460" t="str">
        <f t="shared" si="73"/>
        <v/>
      </c>
      <c r="J460" t="str">
        <f>IF(C460="","",ProcessUrl(H460,I460))</f>
        <v/>
      </c>
      <c r="K460" s="7" t="str">
        <f t="shared" si="74"/>
        <v/>
      </c>
      <c r="L460" s="7" t="str">
        <f t="shared" si="75"/>
        <v/>
      </c>
      <c r="M460" s="7" t="str">
        <f t="shared" si="76"/>
        <v/>
      </c>
      <c r="N460" s="7" t="str">
        <f t="shared" si="77"/>
        <v/>
      </c>
      <c r="O460" s="7" t="str">
        <f t="shared" si="78"/>
        <v/>
      </c>
      <c r="P460" t="str">
        <f t="shared" si="79"/>
        <v/>
      </c>
      <c r="Q460" t="str">
        <f>IF(C460="","",ProcessUrl(P460,"GetTestResults"))</f>
        <v/>
      </c>
      <c r="R460" s="10" t="str">
        <f>IF(C460="","",JsProcess("JsonItem",JsProcess("JsonItem",Q460,"Passed"),"count"))</f>
        <v/>
      </c>
      <c r="S460" s="10" t="str">
        <f>IF(C460="","",JsProcess("JsonItem",JsProcess("JsonItem",Q460,"NotExecuted"),"count"))</f>
        <v/>
      </c>
    </row>
    <row r="461" spans="4:19" x14ac:dyDescent="0.25">
      <c r="D461" t="str">
        <f>IF(C461="","",VLOOKUP(A461,Projects!A:B,2,FALSE))</f>
        <v/>
      </c>
      <c r="E461" s="1" t="str">
        <f t="shared" si="70"/>
        <v/>
      </c>
      <c r="F461" t="str">
        <f t="shared" si="71"/>
        <v/>
      </c>
      <c r="G461" t="str">
        <f>IF(C461="","",ProcessUrl(E461,F461))</f>
        <v/>
      </c>
      <c r="H461" t="str">
        <f t="shared" si="72"/>
        <v/>
      </c>
      <c r="I461" t="str">
        <f t="shared" si="73"/>
        <v/>
      </c>
      <c r="J461" t="str">
        <f>IF(C461="","",ProcessUrl(H461,I461))</f>
        <v/>
      </c>
      <c r="K461" s="7" t="str">
        <f t="shared" si="74"/>
        <v/>
      </c>
      <c r="L461" s="7" t="str">
        <f t="shared" si="75"/>
        <v/>
      </c>
      <c r="M461" s="7" t="str">
        <f t="shared" si="76"/>
        <v/>
      </c>
      <c r="N461" s="7" t="str">
        <f t="shared" si="77"/>
        <v/>
      </c>
      <c r="O461" s="7" t="str">
        <f t="shared" si="78"/>
        <v/>
      </c>
      <c r="P461" t="str">
        <f t="shared" si="79"/>
        <v/>
      </c>
      <c r="Q461" t="str">
        <f>IF(C461="","",ProcessUrl(P461,"GetTestResults"))</f>
        <v/>
      </c>
      <c r="R461" s="10" t="str">
        <f>IF(C461="","",JsProcess("JsonItem",JsProcess("JsonItem",Q461,"Passed"),"count"))</f>
        <v/>
      </c>
      <c r="S461" s="10" t="str">
        <f>IF(C461="","",JsProcess("JsonItem",JsProcess("JsonItem",Q461,"NotExecuted"),"count"))</f>
        <v/>
      </c>
    </row>
    <row r="462" spans="4:19" x14ac:dyDescent="0.25">
      <c r="D462" t="str">
        <f>IF(C462="","",VLOOKUP(A462,Projects!A:B,2,FALSE))</f>
        <v/>
      </c>
      <c r="E462" s="1" t="str">
        <f t="shared" si="70"/>
        <v/>
      </c>
      <c r="F462" t="str">
        <f t="shared" si="71"/>
        <v/>
      </c>
      <c r="G462" t="str">
        <f>IF(C462="","",ProcessUrl(E462,F462))</f>
        <v/>
      </c>
      <c r="H462" t="str">
        <f t="shared" si="72"/>
        <v/>
      </c>
      <c r="I462" t="str">
        <f t="shared" si="73"/>
        <v/>
      </c>
      <c r="J462" t="str">
        <f>IF(C462="","",ProcessUrl(H462,I462))</f>
        <v/>
      </c>
      <c r="K462" s="7" t="str">
        <f t="shared" si="74"/>
        <v/>
      </c>
      <c r="L462" s="7" t="str">
        <f t="shared" si="75"/>
        <v/>
      </c>
      <c r="M462" s="7" t="str">
        <f t="shared" si="76"/>
        <v/>
      </c>
      <c r="N462" s="7" t="str">
        <f t="shared" si="77"/>
        <v/>
      </c>
      <c r="O462" s="7" t="str">
        <f t="shared" si="78"/>
        <v/>
      </c>
      <c r="P462" t="str">
        <f t="shared" si="79"/>
        <v/>
      </c>
      <c r="Q462" t="str">
        <f>IF(C462="","",ProcessUrl(P462,"GetTestResults"))</f>
        <v/>
      </c>
      <c r="R462" s="10" t="str">
        <f>IF(C462="","",JsProcess("JsonItem",JsProcess("JsonItem",Q462,"Passed"),"count"))</f>
        <v/>
      </c>
      <c r="S462" s="10" t="str">
        <f>IF(C462="","",JsProcess("JsonItem",JsProcess("JsonItem",Q462,"NotExecuted"),"count"))</f>
        <v/>
      </c>
    </row>
    <row r="463" spans="4:19" x14ac:dyDescent="0.25">
      <c r="D463" t="str">
        <f>IF(C463="","",VLOOKUP(A463,Projects!A:B,2,FALSE))</f>
        <v/>
      </c>
      <c r="E463" s="1" t="str">
        <f t="shared" si="70"/>
        <v/>
      </c>
      <c r="F463" t="str">
        <f t="shared" si="71"/>
        <v/>
      </c>
      <c r="G463" t="str">
        <f>IF(C463="","",ProcessUrl(E463,F463))</f>
        <v/>
      </c>
      <c r="H463" t="str">
        <f t="shared" si="72"/>
        <v/>
      </c>
      <c r="I463" t="str">
        <f t="shared" si="73"/>
        <v/>
      </c>
      <c r="J463" t="str">
        <f>IF(C463="","",ProcessUrl(H463,I463))</f>
        <v/>
      </c>
      <c r="K463" s="7" t="str">
        <f t="shared" si="74"/>
        <v/>
      </c>
      <c r="L463" s="7" t="str">
        <f t="shared" si="75"/>
        <v/>
      </c>
      <c r="M463" s="7" t="str">
        <f t="shared" si="76"/>
        <v/>
      </c>
      <c r="N463" s="7" t="str">
        <f t="shared" si="77"/>
        <v/>
      </c>
      <c r="O463" s="7" t="str">
        <f t="shared" si="78"/>
        <v/>
      </c>
      <c r="P463" t="str">
        <f t="shared" si="79"/>
        <v/>
      </c>
      <c r="Q463" t="str">
        <f>IF(C463="","",ProcessUrl(P463,"GetTestResults"))</f>
        <v/>
      </c>
      <c r="R463" s="10" t="str">
        <f>IF(C463="","",JsProcess("JsonItem",JsProcess("JsonItem",Q463,"Passed"),"count"))</f>
        <v/>
      </c>
      <c r="S463" s="10" t="str">
        <f>IF(C463="","",JsProcess("JsonItem",JsProcess("JsonItem",Q463,"NotExecuted"),"count"))</f>
        <v/>
      </c>
    </row>
    <row r="464" spans="4:19" x14ac:dyDescent="0.25">
      <c r="D464" t="str">
        <f>IF(C464="","",VLOOKUP(A464,Projects!A:B,2,FALSE))</f>
        <v/>
      </c>
      <c r="E464" s="1" t="str">
        <f t="shared" si="70"/>
        <v/>
      </c>
      <c r="F464" t="str">
        <f t="shared" si="71"/>
        <v/>
      </c>
      <c r="G464" t="str">
        <f>IF(C464="","",ProcessUrl(E464,F464))</f>
        <v/>
      </c>
      <c r="H464" t="str">
        <f t="shared" si="72"/>
        <v/>
      </c>
      <c r="I464" t="str">
        <f t="shared" si="73"/>
        <v/>
      </c>
      <c r="J464" t="str">
        <f>IF(C464="","",ProcessUrl(H464,I464))</f>
        <v/>
      </c>
      <c r="K464" s="7" t="str">
        <f t="shared" si="74"/>
        <v/>
      </c>
      <c r="L464" s="7" t="str">
        <f t="shared" si="75"/>
        <v/>
      </c>
      <c r="M464" s="7" t="str">
        <f t="shared" si="76"/>
        <v/>
      </c>
      <c r="N464" s="7" t="str">
        <f t="shared" si="77"/>
        <v/>
      </c>
      <c r="O464" s="7" t="str">
        <f t="shared" si="78"/>
        <v/>
      </c>
      <c r="P464" t="str">
        <f t="shared" si="79"/>
        <v/>
      </c>
      <c r="Q464" t="str">
        <f>IF(C464="","",ProcessUrl(P464,"GetTestResults"))</f>
        <v/>
      </c>
      <c r="R464" s="10" t="str">
        <f>IF(C464="","",JsProcess("JsonItem",JsProcess("JsonItem",Q464,"Passed"),"count"))</f>
        <v/>
      </c>
      <c r="S464" s="10" t="str">
        <f>IF(C464="","",JsProcess("JsonItem",JsProcess("JsonItem",Q464,"NotExecuted"),"count"))</f>
        <v/>
      </c>
    </row>
    <row r="465" spans="4:19" x14ac:dyDescent="0.25">
      <c r="D465" t="str">
        <f>IF(C465="","",VLOOKUP(A465,Projects!A:B,2,FALSE))</f>
        <v/>
      </c>
      <c r="E465" s="1" t="str">
        <f t="shared" si="70"/>
        <v/>
      </c>
      <c r="F465" t="str">
        <f t="shared" si="71"/>
        <v/>
      </c>
      <c r="G465" t="str">
        <f>IF(C465="","",ProcessUrl(E465,F465))</f>
        <v/>
      </c>
      <c r="H465" t="str">
        <f t="shared" si="72"/>
        <v/>
      </c>
      <c r="I465" t="str">
        <f t="shared" si="73"/>
        <v/>
      </c>
      <c r="J465" t="str">
        <f>IF(C465="","",ProcessUrl(H465,I465))</f>
        <v/>
      </c>
      <c r="K465" s="7" t="str">
        <f t="shared" si="74"/>
        <v/>
      </c>
      <c r="L465" s="7" t="str">
        <f t="shared" si="75"/>
        <v/>
      </c>
      <c r="M465" s="7" t="str">
        <f t="shared" si="76"/>
        <v/>
      </c>
      <c r="N465" s="7" t="str">
        <f t="shared" si="77"/>
        <v/>
      </c>
      <c r="O465" s="7" t="str">
        <f t="shared" si="78"/>
        <v/>
      </c>
      <c r="P465" t="str">
        <f t="shared" si="79"/>
        <v/>
      </c>
      <c r="Q465" t="str">
        <f>IF(C465="","",ProcessUrl(P465,"GetTestResults"))</f>
        <v/>
      </c>
      <c r="R465" s="10" t="str">
        <f>IF(C465="","",JsProcess("JsonItem",JsProcess("JsonItem",Q465,"Passed"),"count"))</f>
        <v/>
      </c>
      <c r="S465" s="10" t="str">
        <f>IF(C465="","",JsProcess("JsonItem",JsProcess("JsonItem",Q465,"NotExecuted"),"count"))</f>
        <v/>
      </c>
    </row>
    <row r="466" spans="4:19" x14ac:dyDescent="0.25">
      <c r="D466" t="str">
        <f>IF(C466="","",VLOOKUP(A466,Projects!A:B,2,FALSE))</f>
        <v/>
      </c>
      <c r="E466" s="1" t="str">
        <f t="shared" si="70"/>
        <v/>
      </c>
      <c r="F466" t="str">
        <f t="shared" si="71"/>
        <v/>
      </c>
      <c r="G466" t="str">
        <f>IF(C466="","",ProcessUrl(E466,F466))</f>
        <v/>
      </c>
      <c r="H466" t="str">
        <f t="shared" si="72"/>
        <v/>
      </c>
      <c r="I466" t="str">
        <f t="shared" si="73"/>
        <v/>
      </c>
      <c r="J466" t="str">
        <f>IF(C466="","",ProcessUrl(H466,I466))</f>
        <v/>
      </c>
      <c r="K466" s="7" t="str">
        <f t="shared" si="74"/>
        <v/>
      </c>
      <c r="L466" s="7" t="str">
        <f t="shared" si="75"/>
        <v/>
      </c>
      <c r="M466" s="7" t="str">
        <f t="shared" si="76"/>
        <v/>
      </c>
      <c r="N466" s="7" t="str">
        <f t="shared" si="77"/>
        <v/>
      </c>
      <c r="O466" s="7" t="str">
        <f t="shared" si="78"/>
        <v/>
      </c>
      <c r="P466" t="str">
        <f t="shared" si="79"/>
        <v/>
      </c>
      <c r="Q466" t="str">
        <f>IF(C466="","",ProcessUrl(P466,"GetTestResults"))</f>
        <v/>
      </c>
      <c r="R466" s="10" t="str">
        <f>IF(C466="","",JsProcess("JsonItem",JsProcess("JsonItem",Q466,"Passed"),"count"))</f>
        <v/>
      </c>
      <c r="S466" s="10" t="str">
        <f>IF(C466="","",JsProcess("JsonItem",JsProcess("JsonItem",Q466,"NotExecuted"),"count"))</f>
        <v/>
      </c>
    </row>
    <row r="467" spans="4:19" x14ac:dyDescent="0.25">
      <c r="D467" t="str">
        <f>IF(C467="","",VLOOKUP(A467,Projects!A:B,2,FALSE))</f>
        <v/>
      </c>
      <c r="E467" s="1" t="str">
        <f t="shared" si="70"/>
        <v/>
      </c>
      <c r="F467" t="str">
        <f t="shared" si="71"/>
        <v/>
      </c>
      <c r="G467" t="str">
        <f>IF(C467="","",ProcessUrl(E467,F467))</f>
        <v/>
      </c>
      <c r="H467" t="str">
        <f t="shared" si="72"/>
        <v/>
      </c>
      <c r="I467" t="str">
        <f t="shared" si="73"/>
        <v/>
      </c>
      <c r="J467" t="str">
        <f>IF(C467="","",ProcessUrl(H467,I467))</f>
        <v/>
      </c>
      <c r="K467" s="7" t="str">
        <f t="shared" si="74"/>
        <v/>
      </c>
      <c r="L467" s="7" t="str">
        <f t="shared" si="75"/>
        <v/>
      </c>
      <c r="M467" s="7" t="str">
        <f t="shared" si="76"/>
        <v/>
      </c>
      <c r="N467" s="7" t="str">
        <f t="shared" si="77"/>
        <v/>
      </c>
      <c r="O467" s="7" t="str">
        <f t="shared" si="78"/>
        <v/>
      </c>
      <c r="P467" t="str">
        <f t="shared" si="79"/>
        <v/>
      </c>
      <c r="Q467" t="str">
        <f>IF(C467="","",ProcessUrl(P467,"GetTestResults"))</f>
        <v/>
      </c>
      <c r="R467" s="10" t="str">
        <f>IF(C467="","",JsProcess("JsonItem",JsProcess("JsonItem",Q467,"Passed"),"count"))</f>
        <v/>
      </c>
      <c r="S467" s="10" t="str">
        <f>IF(C467="","",JsProcess("JsonItem",JsProcess("JsonItem",Q467,"NotExecuted"),"count"))</f>
        <v/>
      </c>
    </row>
    <row r="468" spans="4:19" x14ac:dyDescent="0.25">
      <c r="D468" t="str">
        <f>IF(C468="","",VLOOKUP(A468,Projects!A:B,2,FALSE))</f>
        <v/>
      </c>
      <c r="E468" s="1" t="str">
        <f t="shared" si="70"/>
        <v/>
      </c>
      <c r="F468" t="str">
        <f t="shared" si="71"/>
        <v/>
      </c>
      <c r="G468" t="str">
        <f>IF(C468="","",ProcessUrl(E468,F468))</f>
        <v/>
      </c>
      <c r="H468" t="str">
        <f t="shared" si="72"/>
        <v/>
      </c>
      <c r="I468" t="str">
        <f t="shared" si="73"/>
        <v/>
      </c>
      <c r="J468" t="str">
        <f>IF(C468="","",ProcessUrl(H468,I468))</f>
        <v/>
      </c>
      <c r="K468" s="7" t="str">
        <f t="shared" si="74"/>
        <v/>
      </c>
      <c r="L468" s="7" t="str">
        <f t="shared" si="75"/>
        <v/>
      </c>
      <c r="M468" s="7" t="str">
        <f t="shared" si="76"/>
        <v/>
      </c>
      <c r="N468" s="7" t="str">
        <f t="shared" si="77"/>
        <v/>
      </c>
      <c r="O468" s="7" t="str">
        <f t="shared" si="78"/>
        <v/>
      </c>
      <c r="P468" t="str">
        <f t="shared" si="79"/>
        <v/>
      </c>
      <c r="Q468" t="str">
        <f>IF(C468="","",ProcessUrl(P468,"GetTestResults"))</f>
        <v/>
      </c>
      <c r="R468" s="10" t="str">
        <f>IF(C468="","",JsProcess("JsonItem",JsProcess("JsonItem",Q468,"Passed"),"count"))</f>
        <v/>
      </c>
      <c r="S468" s="10" t="str">
        <f>IF(C468="","",JsProcess("JsonItem",JsProcess("JsonItem",Q468,"NotExecuted"),"count"))</f>
        <v/>
      </c>
    </row>
    <row r="469" spans="4:19" x14ac:dyDescent="0.25">
      <c r="D469" t="str">
        <f>IF(C469="","",VLOOKUP(A469,Projects!A:B,2,FALSE))</f>
        <v/>
      </c>
      <c r="E469" s="1" t="str">
        <f t="shared" si="70"/>
        <v/>
      </c>
      <c r="F469" t="str">
        <f t="shared" si="71"/>
        <v/>
      </c>
      <c r="G469" t="str">
        <f>IF(C469="","",ProcessUrl(E469,F469))</f>
        <v/>
      </c>
      <c r="H469" t="str">
        <f t="shared" si="72"/>
        <v/>
      </c>
      <c r="I469" t="str">
        <f t="shared" si="73"/>
        <v/>
      </c>
      <c r="J469" t="str">
        <f>IF(C469="","",ProcessUrl(H469,I469))</f>
        <v/>
      </c>
      <c r="K469" s="7" t="str">
        <f t="shared" si="74"/>
        <v/>
      </c>
      <c r="L469" s="7" t="str">
        <f t="shared" si="75"/>
        <v/>
      </c>
      <c r="M469" s="7" t="str">
        <f t="shared" si="76"/>
        <v/>
      </c>
      <c r="N469" s="7" t="str">
        <f t="shared" si="77"/>
        <v/>
      </c>
      <c r="O469" s="7" t="str">
        <f t="shared" si="78"/>
        <v/>
      </c>
      <c r="P469" t="str">
        <f t="shared" si="79"/>
        <v/>
      </c>
      <c r="Q469" t="str">
        <f>IF(C469="","",ProcessUrl(P469,"GetTestResults"))</f>
        <v/>
      </c>
      <c r="R469" s="10" t="str">
        <f>IF(C469="","",JsProcess("JsonItem",JsProcess("JsonItem",Q469,"Passed"),"count"))</f>
        <v/>
      </c>
      <c r="S469" s="10" t="str">
        <f>IF(C469="","",JsProcess("JsonItem",JsProcess("JsonItem",Q469,"NotExecuted"),"count"))</f>
        <v/>
      </c>
    </row>
    <row r="470" spans="4:19" x14ac:dyDescent="0.25">
      <c r="D470" t="str">
        <f>IF(C470="","",VLOOKUP(A470,Projects!A:B,2,FALSE))</f>
        <v/>
      </c>
      <c r="E470" s="1" t="str">
        <f t="shared" si="70"/>
        <v/>
      </c>
      <c r="F470" t="str">
        <f t="shared" si="71"/>
        <v/>
      </c>
      <c r="G470" t="str">
        <f>IF(C470="","",ProcessUrl(E470,F470))</f>
        <v/>
      </c>
      <c r="H470" t="str">
        <f t="shared" si="72"/>
        <v/>
      </c>
      <c r="I470" t="str">
        <f t="shared" si="73"/>
        <v/>
      </c>
      <c r="J470" t="str">
        <f>IF(C470="","",ProcessUrl(H470,I470))</f>
        <v/>
      </c>
      <c r="K470" s="7" t="str">
        <f t="shared" si="74"/>
        <v/>
      </c>
      <c r="L470" s="7" t="str">
        <f t="shared" si="75"/>
        <v/>
      </c>
      <c r="M470" s="7" t="str">
        <f t="shared" si="76"/>
        <v/>
      </c>
      <c r="N470" s="7" t="str">
        <f t="shared" si="77"/>
        <v/>
      </c>
      <c r="O470" s="7" t="str">
        <f t="shared" si="78"/>
        <v/>
      </c>
      <c r="P470" t="str">
        <f t="shared" si="79"/>
        <v/>
      </c>
      <c r="Q470" t="str">
        <f>IF(C470="","",ProcessUrl(P470,"GetTestResults"))</f>
        <v/>
      </c>
      <c r="R470" s="10" t="str">
        <f>IF(C470="","",JsProcess("JsonItem",JsProcess("JsonItem",Q470,"Passed"),"count"))</f>
        <v/>
      </c>
      <c r="S470" s="10" t="str">
        <f>IF(C470="","",JsProcess("JsonItem",JsProcess("JsonItem",Q470,"NotExecuted"),"count"))</f>
        <v/>
      </c>
    </row>
    <row r="471" spans="4:19" x14ac:dyDescent="0.25">
      <c r="D471" t="str">
        <f>IF(C471="","",VLOOKUP(A471,Projects!A:B,2,FALSE))</f>
        <v/>
      </c>
      <c r="E471" s="1" t="str">
        <f t="shared" si="70"/>
        <v/>
      </c>
      <c r="F471" t="str">
        <f t="shared" si="71"/>
        <v/>
      </c>
      <c r="G471" t="str">
        <f>IF(C471="","",ProcessUrl(E471,F471))</f>
        <v/>
      </c>
      <c r="H471" t="str">
        <f t="shared" si="72"/>
        <v/>
      </c>
      <c r="I471" t="str">
        <f t="shared" si="73"/>
        <v/>
      </c>
      <c r="J471" t="str">
        <f>IF(C471="","",ProcessUrl(H471,I471))</f>
        <v/>
      </c>
      <c r="K471" s="7" t="str">
        <f t="shared" si="74"/>
        <v/>
      </c>
      <c r="L471" s="7" t="str">
        <f t="shared" si="75"/>
        <v/>
      </c>
      <c r="M471" s="7" t="str">
        <f t="shared" si="76"/>
        <v/>
      </c>
      <c r="N471" s="7" t="str">
        <f t="shared" si="77"/>
        <v/>
      </c>
      <c r="O471" s="7" t="str">
        <f t="shared" si="78"/>
        <v/>
      </c>
      <c r="P471" t="str">
        <f t="shared" si="79"/>
        <v/>
      </c>
      <c r="Q471" t="str">
        <f>IF(C471="","",ProcessUrl(P471,"GetTestResults"))</f>
        <v/>
      </c>
      <c r="R471" s="10" t="str">
        <f>IF(C471="","",JsProcess("JsonItem",JsProcess("JsonItem",Q471,"Passed"),"count"))</f>
        <v/>
      </c>
      <c r="S471" s="10" t="str">
        <f>IF(C471="","",JsProcess("JsonItem",JsProcess("JsonItem",Q471,"NotExecuted"),"count"))</f>
        <v/>
      </c>
    </row>
    <row r="472" spans="4:19" x14ac:dyDescent="0.25">
      <c r="D472" t="str">
        <f>IF(C472="","",VLOOKUP(A472,Projects!A:B,2,FALSE))</f>
        <v/>
      </c>
      <c r="E472" s="1" t="str">
        <f t="shared" si="70"/>
        <v/>
      </c>
      <c r="F472" t="str">
        <f t="shared" si="71"/>
        <v/>
      </c>
      <c r="G472" t="str">
        <f>IF(C472="","",ProcessUrl(E472,F472))</f>
        <v/>
      </c>
      <c r="H472" t="str">
        <f t="shared" si="72"/>
        <v/>
      </c>
      <c r="I472" t="str">
        <f t="shared" si="73"/>
        <v/>
      </c>
      <c r="J472" t="str">
        <f>IF(C472="","",ProcessUrl(H472,I472))</f>
        <v/>
      </c>
      <c r="K472" s="7" t="str">
        <f t="shared" si="74"/>
        <v/>
      </c>
      <c r="L472" s="7" t="str">
        <f t="shared" si="75"/>
        <v/>
      </c>
      <c r="M472" s="7" t="str">
        <f t="shared" si="76"/>
        <v/>
      </c>
      <c r="N472" s="7" t="str">
        <f t="shared" si="77"/>
        <v/>
      </c>
      <c r="O472" s="7" t="str">
        <f t="shared" si="78"/>
        <v/>
      </c>
      <c r="P472" t="str">
        <f t="shared" si="79"/>
        <v/>
      </c>
      <c r="Q472" t="str">
        <f>IF(C472="","",ProcessUrl(P472,"GetTestResults"))</f>
        <v/>
      </c>
      <c r="R472" s="10" t="str">
        <f>IF(C472="","",JsProcess("JsonItem",JsProcess("JsonItem",Q472,"Passed"),"count"))</f>
        <v/>
      </c>
      <c r="S472" s="10" t="str">
        <f>IF(C472="","",JsProcess("JsonItem",JsProcess("JsonItem",Q472,"NotExecuted"),"count"))</f>
        <v/>
      </c>
    </row>
    <row r="473" spans="4:19" x14ac:dyDescent="0.25">
      <c r="D473" t="str">
        <f>IF(C473="","",VLOOKUP(A473,Projects!A:B,2,FALSE))</f>
        <v/>
      </c>
      <c r="E473" s="1" t="str">
        <f t="shared" si="70"/>
        <v/>
      </c>
      <c r="F473" t="str">
        <f t="shared" si="71"/>
        <v/>
      </c>
      <c r="G473" t="str">
        <f>IF(C473="","",ProcessUrl(E473,F473))</f>
        <v/>
      </c>
      <c r="H473" t="str">
        <f t="shared" si="72"/>
        <v/>
      </c>
      <c r="I473" t="str">
        <f t="shared" si="73"/>
        <v/>
      </c>
      <c r="J473" t="str">
        <f>IF(C473="","",ProcessUrl(H473,I473))</f>
        <v/>
      </c>
      <c r="K473" s="7" t="str">
        <f t="shared" si="74"/>
        <v/>
      </c>
      <c r="L473" s="7" t="str">
        <f t="shared" si="75"/>
        <v/>
      </c>
      <c r="M473" s="7" t="str">
        <f t="shared" si="76"/>
        <v/>
      </c>
      <c r="N473" s="7" t="str">
        <f t="shared" si="77"/>
        <v/>
      </c>
      <c r="O473" s="7" t="str">
        <f t="shared" si="78"/>
        <v/>
      </c>
      <c r="P473" t="str">
        <f t="shared" si="79"/>
        <v/>
      </c>
      <c r="Q473" t="str">
        <f>IF(C473="","",ProcessUrl(P473,"GetTestResults"))</f>
        <v/>
      </c>
      <c r="R473" s="10" t="str">
        <f>IF(C473="","",JsProcess("JsonItem",JsProcess("JsonItem",Q473,"Passed"),"count"))</f>
        <v/>
      </c>
      <c r="S473" s="10" t="str">
        <f>IF(C473="","",JsProcess("JsonItem",JsProcess("JsonItem",Q473,"NotExecuted"),"count"))</f>
        <v/>
      </c>
    </row>
    <row r="474" spans="4:19" x14ac:dyDescent="0.25">
      <c r="D474" t="str">
        <f>IF(C474="","",VLOOKUP(A474,Projects!A:B,2,FALSE))</f>
        <v/>
      </c>
      <c r="E474" s="1" t="str">
        <f t="shared" si="70"/>
        <v/>
      </c>
      <c r="F474" t="str">
        <f t="shared" si="71"/>
        <v/>
      </c>
      <c r="G474" t="str">
        <f>IF(C474="","",ProcessUrl(E474,F474))</f>
        <v/>
      </c>
      <c r="H474" t="str">
        <f t="shared" si="72"/>
        <v/>
      </c>
      <c r="I474" t="str">
        <f t="shared" si="73"/>
        <v/>
      </c>
      <c r="J474" t="str">
        <f>IF(C474="","",ProcessUrl(H474,I474))</f>
        <v/>
      </c>
      <c r="K474" s="7" t="str">
        <f t="shared" si="74"/>
        <v/>
      </c>
      <c r="L474" s="7" t="str">
        <f t="shared" si="75"/>
        <v/>
      </c>
      <c r="M474" s="7" t="str">
        <f t="shared" si="76"/>
        <v/>
      </c>
      <c r="N474" s="7" t="str">
        <f t="shared" si="77"/>
        <v/>
      </c>
      <c r="O474" s="7" t="str">
        <f t="shared" si="78"/>
        <v/>
      </c>
      <c r="P474" t="str">
        <f t="shared" si="79"/>
        <v/>
      </c>
      <c r="Q474" t="str">
        <f>IF(C474="","",ProcessUrl(P474,"GetTestResults"))</f>
        <v/>
      </c>
      <c r="R474" s="10" t="str">
        <f>IF(C474="","",JsProcess("JsonItem",JsProcess("JsonItem",Q474,"Passed"),"count"))</f>
        <v/>
      </c>
      <c r="S474" s="10" t="str">
        <f>IF(C474="","",JsProcess("JsonItem",JsProcess("JsonItem",Q474,"NotExecuted"),"count"))</f>
        <v/>
      </c>
    </row>
    <row r="475" spans="4:19" x14ac:dyDescent="0.25">
      <c r="D475" t="str">
        <f>IF(C475="","",VLOOKUP(A475,Projects!A:B,2,FALSE))</f>
        <v/>
      </c>
      <c r="E475" s="1" t="str">
        <f t="shared" si="70"/>
        <v/>
      </c>
      <c r="F475" t="str">
        <f t="shared" si="71"/>
        <v/>
      </c>
      <c r="G475" t="str">
        <f>IF(C475="","",ProcessUrl(E475,F475))</f>
        <v/>
      </c>
      <c r="H475" t="str">
        <f t="shared" si="72"/>
        <v/>
      </c>
      <c r="I475" t="str">
        <f t="shared" si="73"/>
        <v/>
      </c>
      <c r="J475" t="str">
        <f>IF(C475="","",ProcessUrl(H475,I475))</f>
        <v/>
      </c>
      <c r="K475" s="7" t="str">
        <f t="shared" si="74"/>
        <v/>
      </c>
      <c r="L475" s="7" t="str">
        <f t="shared" si="75"/>
        <v/>
      </c>
      <c r="M475" s="7" t="str">
        <f t="shared" si="76"/>
        <v/>
      </c>
      <c r="N475" s="7" t="str">
        <f t="shared" si="77"/>
        <v/>
      </c>
      <c r="O475" s="7" t="str">
        <f t="shared" si="78"/>
        <v/>
      </c>
      <c r="P475" t="str">
        <f t="shared" si="79"/>
        <v/>
      </c>
      <c r="Q475" t="str">
        <f>IF(C475="","",ProcessUrl(P475,"GetTestResults"))</f>
        <v/>
      </c>
      <c r="R475" s="10" t="str">
        <f>IF(C475="","",JsProcess("JsonItem",JsProcess("JsonItem",Q475,"Passed"),"count"))</f>
        <v/>
      </c>
      <c r="S475" s="10" t="str">
        <f>IF(C475="","",JsProcess("JsonItem",JsProcess("JsonItem",Q475,"NotExecuted"),"count"))</f>
        <v/>
      </c>
    </row>
    <row r="476" spans="4:19" x14ac:dyDescent="0.25">
      <c r="D476" t="str">
        <f>IF(C476="","",VLOOKUP(A476,Projects!A:B,2,FALSE))</f>
        <v/>
      </c>
      <c r="E476" s="1" t="str">
        <f t="shared" si="70"/>
        <v/>
      </c>
      <c r="F476" t="str">
        <f t="shared" si="71"/>
        <v/>
      </c>
      <c r="G476" t="str">
        <f>IF(C476="","",ProcessUrl(E476,F476))</f>
        <v/>
      </c>
      <c r="H476" t="str">
        <f t="shared" si="72"/>
        <v/>
      </c>
      <c r="I476" t="str">
        <f t="shared" si="73"/>
        <v/>
      </c>
      <c r="J476" t="str">
        <f>IF(C476="","",ProcessUrl(H476,I476))</f>
        <v/>
      </c>
      <c r="K476" s="7" t="str">
        <f t="shared" si="74"/>
        <v/>
      </c>
      <c r="L476" s="7" t="str">
        <f t="shared" si="75"/>
        <v/>
      </c>
      <c r="M476" s="7" t="str">
        <f t="shared" si="76"/>
        <v/>
      </c>
      <c r="N476" s="7" t="str">
        <f t="shared" si="77"/>
        <v/>
      </c>
      <c r="O476" s="7" t="str">
        <f t="shared" si="78"/>
        <v/>
      </c>
      <c r="P476" t="str">
        <f t="shared" si="79"/>
        <v/>
      </c>
      <c r="Q476" t="str">
        <f>IF(C476="","",ProcessUrl(P476,"GetTestResults"))</f>
        <v/>
      </c>
      <c r="R476" s="10" t="str">
        <f>IF(C476="","",JsProcess("JsonItem",JsProcess("JsonItem",Q476,"Passed"),"count"))</f>
        <v/>
      </c>
      <c r="S476" s="10" t="str">
        <f>IF(C476="","",JsProcess("JsonItem",JsProcess("JsonItem",Q476,"NotExecuted"),"count"))</f>
        <v/>
      </c>
    </row>
    <row r="477" spans="4:19" x14ac:dyDescent="0.25">
      <c r="D477" t="str">
        <f>IF(C477="","",VLOOKUP(A477,Projects!A:B,2,FALSE))</f>
        <v/>
      </c>
      <c r="E477" s="1" t="str">
        <f t="shared" si="70"/>
        <v/>
      </c>
      <c r="F477" t="str">
        <f t="shared" si="71"/>
        <v/>
      </c>
      <c r="G477" t="str">
        <f>IF(C477="","",ProcessUrl(E477,F477))</f>
        <v/>
      </c>
      <c r="H477" t="str">
        <f t="shared" si="72"/>
        <v/>
      </c>
      <c r="I477" t="str">
        <f t="shared" si="73"/>
        <v/>
      </c>
      <c r="J477" t="str">
        <f>IF(C477="","",ProcessUrl(H477,I477))</f>
        <v/>
      </c>
      <c r="K477" s="7" t="str">
        <f t="shared" si="74"/>
        <v/>
      </c>
      <c r="L477" s="7" t="str">
        <f t="shared" si="75"/>
        <v/>
      </c>
      <c r="M477" s="7" t="str">
        <f t="shared" si="76"/>
        <v/>
      </c>
      <c r="N477" s="7" t="str">
        <f t="shared" si="77"/>
        <v/>
      </c>
      <c r="O477" s="7" t="str">
        <f t="shared" si="78"/>
        <v/>
      </c>
      <c r="P477" t="str">
        <f t="shared" si="79"/>
        <v/>
      </c>
      <c r="Q477" t="str">
        <f>IF(C477="","",ProcessUrl(P477,"GetTestResults"))</f>
        <v/>
      </c>
      <c r="R477" s="10" t="str">
        <f>IF(C477="","",JsProcess("JsonItem",JsProcess("JsonItem",Q477,"Passed"),"count"))</f>
        <v/>
      </c>
      <c r="S477" s="10" t="str">
        <f>IF(C477="","",JsProcess("JsonItem",JsProcess("JsonItem",Q477,"NotExecuted"),"count"))</f>
        <v/>
      </c>
    </row>
    <row r="478" spans="4:19" x14ac:dyDescent="0.25">
      <c r="D478" t="str">
        <f>IF(C478="","",VLOOKUP(A478,Projects!A:B,2,FALSE))</f>
        <v/>
      </c>
      <c r="E478" s="1" t="str">
        <f t="shared" si="70"/>
        <v/>
      </c>
      <c r="F478" t="str">
        <f t="shared" si="71"/>
        <v/>
      </c>
      <c r="G478" t="str">
        <f>IF(C478="","",ProcessUrl(E478,F478))</f>
        <v/>
      </c>
      <c r="H478" t="str">
        <f t="shared" si="72"/>
        <v/>
      </c>
      <c r="I478" t="str">
        <f t="shared" si="73"/>
        <v/>
      </c>
      <c r="J478" t="str">
        <f>IF(C478="","",ProcessUrl(H478,I478))</f>
        <v/>
      </c>
      <c r="K478" s="7" t="str">
        <f t="shared" si="74"/>
        <v/>
      </c>
      <c r="L478" s="7" t="str">
        <f t="shared" si="75"/>
        <v/>
      </c>
      <c r="M478" s="7" t="str">
        <f t="shared" si="76"/>
        <v/>
      </c>
      <c r="N478" s="7" t="str">
        <f t="shared" si="77"/>
        <v/>
      </c>
      <c r="O478" s="7" t="str">
        <f t="shared" si="78"/>
        <v/>
      </c>
      <c r="P478" t="str">
        <f t="shared" si="79"/>
        <v/>
      </c>
      <c r="Q478" t="str">
        <f>IF(C478="","",ProcessUrl(P478,"GetTestResults"))</f>
        <v/>
      </c>
      <c r="R478" s="10" t="str">
        <f>IF(C478="","",JsProcess("JsonItem",JsProcess("JsonItem",Q478,"Passed"),"count"))</f>
        <v/>
      </c>
      <c r="S478" s="10" t="str">
        <f>IF(C478="","",JsProcess("JsonItem",JsProcess("JsonItem",Q478,"NotExecuted"),"count"))</f>
        <v/>
      </c>
    </row>
    <row r="479" spans="4:19" x14ac:dyDescent="0.25">
      <c r="D479" t="str">
        <f>IF(C479="","",VLOOKUP(A479,Projects!A:B,2,FALSE))</f>
        <v/>
      </c>
      <c r="E479" s="1" t="str">
        <f t="shared" si="70"/>
        <v/>
      </c>
      <c r="F479" t="str">
        <f t="shared" si="71"/>
        <v/>
      </c>
      <c r="G479" t="str">
        <f>IF(C479="","",ProcessUrl(E479,F479))</f>
        <v/>
      </c>
      <c r="H479" t="str">
        <f t="shared" si="72"/>
        <v/>
      </c>
      <c r="I479" t="str">
        <f t="shared" si="73"/>
        <v/>
      </c>
      <c r="J479" t="str">
        <f>IF(C479="","",ProcessUrl(H479,I479))</f>
        <v/>
      </c>
      <c r="K479" s="7" t="str">
        <f t="shared" si="74"/>
        <v/>
      </c>
      <c r="L479" s="7" t="str">
        <f t="shared" si="75"/>
        <v/>
      </c>
      <c r="M479" s="7" t="str">
        <f t="shared" si="76"/>
        <v/>
      </c>
      <c r="N479" s="7" t="str">
        <f t="shared" si="77"/>
        <v/>
      </c>
      <c r="O479" s="7" t="str">
        <f t="shared" si="78"/>
        <v/>
      </c>
      <c r="P479" t="str">
        <f t="shared" si="79"/>
        <v/>
      </c>
      <c r="Q479" t="str">
        <f>IF(C479="","",ProcessUrl(P479,"GetTestResults"))</f>
        <v/>
      </c>
      <c r="R479" s="10" t="str">
        <f>IF(C479="","",JsProcess("JsonItem",JsProcess("JsonItem",Q479,"Passed"),"count"))</f>
        <v/>
      </c>
      <c r="S479" s="10" t="str">
        <f>IF(C479="","",JsProcess("JsonItem",JsProcess("JsonItem",Q479,"NotExecuted"),"count"))</f>
        <v/>
      </c>
    </row>
    <row r="480" spans="4:19" x14ac:dyDescent="0.25">
      <c r="D480" t="str">
        <f>IF(C480="","",VLOOKUP(A480,Projects!A:B,2,FALSE))</f>
        <v/>
      </c>
      <c r="E480" s="1" t="str">
        <f t="shared" si="70"/>
        <v/>
      </c>
      <c r="F480" t="str">
        <f t="shared" si="71"/>
        <v/>
      </c>
      <c r="G480" t="str">
        <f>IF(C480="","",ProcessUrl(E480,F480))</f>
        <v/>
      </c>
      <c r="H480" t="str">
        <f t="shared" si="72"/>
        <v/>
      </c>
      <c r="I480" t="str">
        <f t="shared" si="73"/>
        <v/>
      </c>
      <c r="J480" t="str">
        <f>IF(C480="","",ProcessUrl(H480,I480))</f>
        <v/>
      </c>
      <c r="K480" s="7" t="str">
        <f t="shared" si="74"/>
        <v/>
      </c>
      <c r="L480" s="7" t="str">
        <f t="shared" si="75"/>
        <v/>
      </c>
      <c r="M480" s="7" t="str">
        <f t="shared" si="76"/>
        <v/>
      </c>
      <c r="N480" s="7" t="str">
        <f t="shared" si="77"/>
        <v/>
      </c>
      <c r="O480" s="7" t="str">
        <f t="shared" si="78"/>
        <v/>
      </c>
      <c r="P480" t="str">
        <f t="shared" si="79"/>
        <v/>
      </c>
      <c r="Q480" t="str">
        <f>IF(C480="","",ProcessUrl(P480,"GetTestResults"))</f>
        <v/>
      </c>
      <c r="R480" s="10" t="str">
        <f>IF(C480="","",JsProcess("JsonItem",JsProcess("JsonItem",Q480,"Passed"),"count"))</f>
        <v/>
      </c>
      <c r="S480" s="10" t="str">
        <f>IF(C480="","",JsProcess("JsonItem",JsProcess("JsonItem",Q480,"NotExecuted"),"count"))</f>
        <v/>
      </c>
    </row>
    <row r="481" spans="4:19" x14ac:dyDescent="0.25">
      <c r="D481" t="str">
        <f>IF(C481="","",VLOOKUP(A481,Projects!A:B,2,FALSE))</f>
        <v/>
      </c>
      <c r="E481" s="1" t="str">
        <f t="shared" si="70"/>
        <v/>
      </c>
      <c r="F481" t="str">
        <f t="shared" si="71"/>
        <v/>
      </c>
      <c r="G481" t="str">
        <f>IF(C481="","",ProcessUrl(E481,F481))</f>
        <v/>
      </c>
      <c r="H481" t="str">
        <f t="shared" si="72"/>
        <v/>
      </c>
      <c r="I481" t="str">
        <f t="shared" si="73"/>
        <v/>
      </c>
      <c r="J481" t="str">
        <f>IF(C481="","",ProcessUrl(H481,I481))</f>
        <v/>
      </c>
      <c r="K481" s="7" t="str">
        <f t="shared" si="74"/>
        <v/>
      </c>
      <c r="L481" s="7" t="str">
        <f t="shared" si="75"/>
        <v/>
      </c>
      <c r="M481" s="7" t="str">
        <f t="shared" si="76"/>
        <v/>
      </c>
      <c r="N481" s="7" t="str">
        <f t="shared" si="77"/>
        <v/>
      </c>
      <c r="O481" s="7" t="str">
        <f t="shared" si="78"/>
        <v/>
      </c>
      <c r="P481" t="str">
        <f t="shared" si="79"/>
        <v/>
      </c>
      <c r="Q481" t="str">
        <f>IF(C481="","",ProcessUrl(P481,"GetTestResults"))</f>
        <v/>
      </c>
      <c r="R481" s="10" t="str">
        <f>IF(C481="","",JsProcess("JsonItem",JsProcess("JsonItem",Q481,"Passed"),"count"))</f>
        <v/>
      </c>
      <c r="S481" s="10" t="str">
        <f>IF(C481="","",JsProcess("JsonItem",JsProcess("JsonItem",Q481,"NotExecuted"),"count"))</f>
        <v/>
      </c>
    </row>
    <row r="482" spans="4:19" x14ac:dyDescent="0.25">
      <c r="D482" t="str">
        <f>IF(C482="","",VLOOKUP(A482,Projects!A:B,2,FALSE))</f>
        <v/>
      </c>
      <c r="E482" s="1" t="str">
        <f t="shared" si="70"/>
        <v/>
      </c>
      <c r="F482" t="str">
        <f t="shared" si="71"/>
        <v/>
      </c>
      <c r="G482" t="str">
        <f>IF(C482="","",ProcessUrl(E482,F482))</f>
        <v/>
      </c>
      <c r="H482" t="str">
        <f t="shared" si="72"/>
        <v/>
      </c>
      <c r="I482" t="str">
        <f t="shared" si="73"/>
        <v/>
      </c>
      <c r="J482" t="str">
        <f>IF(C482="","",ProcessUrl(H482,I482))</f>
        <v/>
      </c>
      <c r="K482" s="7" t="str">
        <f t="shared" si="74"/>
        <v/>
      </c>
      <c r="L482" s="7" t="str">
        <f t="shared" si="75"/>
        <v/>
      </c>
      <c r="M482" s="7" t="str">
        <f t="shared" si="76"/>
        <v/>
      </c>
      <c r="N482" s="7" t="str">
        <f t="shared" si="77"/>
        <v/>
      </c>
      <c r="O482" s="7" t="str">
        <f t="shared" si="78"/>
        <v/>
      </c>
      <c r="P482" t="str">
        <f t="shared" si="79"/>
        <v/>
      </c>
      <c r="Q482" t="str">
        <f>IF(C482="","",ProcessUrl(P482,"GetTestResults"))</f>
        <v/>
      </c>
      <c r="R482" s="10" t="str">
        <f>IF(C482="","",JsProcess("JsonItem",JsProcess("JsonItem",Q482,"Passed"),"count"))</f>
        <v/>
      </c>
      <c r="S482" s="10" t="str">
        <f>IF(C482="","",JsProcess("JsonItem",JsProcess("JsonItem",Q482,"NotExecuted"),"count"))</f>
        <v/>
      </c>
    </row>
    <row r="483" spans="4:19" x14ac:dyDescent="0.25">
      <c r="D483" t="str">
        <f>IF(C483="","",VLOOKUP(A483,Projects!A:B,2,FALSE))</f>
        <v/>
      </c>
      <c r="E483" s="1" t="str">
        <f t="shared" si="70"/>
        <v/>
      </c>
      <c r="F483" t="str">
        <f t="shared" si="71"/>
        <v/>
      </c>
      <c r="G483" t="str">
        <f>IF(C483="","",ProcessUrl(E483,F483))</f>
        <v/>
      </c>
      <c r="H483" t="str">
        <f t="shared" si="72"/>
        <v/>
      </c>
      <c r="I483" t="str">
        <f t="shared" si="73"/>
        <v/>
      </c>
      <c r="J483" t="str">
        <f>IF(C483="","",ProcessUrl(H483,I483))</f>
        <v/>
      </c>
      <c r="K483" s="7" t="str">
        <f t="shared" si="74"/>
        <v/>
      </c>
      <c r="L483" s="7" t="str">
        <f t="shared" si="75"/>
        <v/>
      </c>
      <c r="M483" s="7" t="str">
        <f t="shared" si="76"/>
        <v/>
      </c>
      <c r="N483" s="7" t="str">
        <f t="shared" si="77"/>
        <v/>
      </c>
      <c r="O483" s="7" t="str">
        <f t="shared" si="78"/>
        <v/>
      </c>
      <c r="P483" t="str">
        <f t="shared" si="79"/>
        <v/>
      </c>
      <c r="Q483" t="str">
        <f>IF(C483="","",ProcessUrl(P483,"GetTestResults"))</f>
        <v/>
      </c>
      <c r="R483" s="10" t="str">
        <f>IF(C483="","",JsProcess("JsonItem",JsProcess("JsonItem",Q483,"Passed"),"count"))</f>
        <v/>
      </c>
      <c r="S483" s="10" t="str">
        <f>IF(C483="","",JsProcess("JsonItem",JsProcess("JsonItem",Q483,"NotExecuted"),"count"))</f>
        <v/>
      </c>
    </row>
    <row r="484" spans="4:19" x14ac:dyDescent="0.25">
      <c r="D484" t="str">
        <f>IF(C484="","",VLOOKUP(A484,Projects!A:B,2,FALSE))</f>
        <v/>
      </c>
      <c r="E484" s="1" t="str">
        <f t="shared" si="70"/>
        <v/>
      </c>
      <c r="F484" t="str">
        <f t="shared" si="71"/>
        <v/>
      </c>
      <c r="G484" t="str">
        <f>IF(C484="","",ProcessUrl(E484,F484))</f>
        <v/>
      </c>
      <c r="H484" t="str">
        <f t="shared" si="72"/>
        <v/>
      </c>
      <c r="I484" t="str">
        <f t="shared" si="73"/>
        <v/>
      </c>
      <c r="J484" t="str">
        <f>IF(C484="","",ProcessUrl(H484,I484))</f>
        <v/>
      </c>
      <c r="K484" s="7" t="str">
        <f t="shared" si="74"/>
        <v/>
      </c>
      <c r="L484" s="7" t="str">
        <f t="shared" si="75"/>
        <v/>
      </c>
      <c r="M484" s="7" t="str">
        <f t="shared" si="76"/>
        <v/>
      </c>
      <c r="N484" s="7" t="str">
        <f t="shared" si="77"/>
        <v/>
      </c>
      <c r="O484" s="7" t="str">
        <f t="shared" si="78"/>
        <v/>
      </c>
      <c r="P484" t="str">
        <f t="shared" si="79"/>
        <v/>
      </c>
      <c r="Q484" t="str">
        <f>IF(C484="","",ProcessUrl(P484,"GetTestResults"))</f>
        <v/>
      </c>
      <c r="R484" s="10" t="str">
        <f>IF(C484="","",JsProcess("JsonItem",JsProcess("JsonItem",Q484,"Passed"),"count"))</f>
        <v/>
      </c>
      <c r="S484" s="10" t="str">
        <f>IF(C484="","",JsProcess("JsonItem",JsProcess("JsonItem",Q484,"NotExecuted"),"count"))</f>
        <v/>
      </c>
    </row>
    <row r="485" spans="4:19" x14ac:dyDescent="0.25">
      <c r="D485" t="str">
        <f>IF(C485="","",VLOOKUP(A485,Projects!A:B,2,FALSE))</f>
        <v/>
      </c>
      <c r="E485" s="1" t="str">
        <f t="shared" si="70"/>
        <v/>
      </c>
      <c r="F485" t="str">
        <f t="shared" si="71"/>
        <v/>
      </c>
      <c r="G485" t="str">
        <f>IF(C485="","",ProcessUrl(E485,F485))</f>
        <v/>
      </c>
      <c r="H485" t="str">
        <f t="shared" si="72"/>
        <v/>
      </c>
      <c r="I485" t="str">
        <f t="shared" si="73"/>
        <v/>
      </c>
      <c r="J485" t="str">
        <f>IF(C485="","",ProcessUrl(H485,I485))</f>
        <v/>
      </c>
      <c r="K485" s="7" t="str">
        <f t="shared" si="74"/>
        <v/>
      </c>
      <c r="L485" s="7" t="str">
        <f t="shared" si="75"/>
        <v/>
      </c>
      <c r="M485" s="7" t="str">
        <f t="shared" si="76"/>
        <v/>
      </c>
      <c r="N485" s="7" t="str">
        <f t="shared" si="77"/>
        <v/>
      </c>
      <c r="O485" s="7" t="str">
        <f t="shared" si="78"/>
        <v/>
      </c>
      <c r="P485" t="str">
        <f t="shared" si="79"/>
        <v/>
      </c>
      <c r="Q485" t="str">
        <f>IF(C485="","",ProcessUrl(P485,"GetTestResults"))</f>
        <v/>
      </c>
      <c r="R485" s="10" t="str">
        <f>IF(C485="","",JsProcess("JsonItem",JsProcess("JsonItem",Q485,"Passed"),"count"))</f>
        <v/>
      </c>
      <c r="S485" s="10" t="str">
        <f>IF(C485="","",JsProcess("JsonItem",JsProcess("JsonItem",Q485,"NotExecuted"),"count"))</f>
        <v/>
      </c>
    </row>
    <row r="486" spans="4:19" x14ac:dyDescent="0.25">
      <c r="D486" t="str">
        <f>IF(C486="","",VLOOKUP(A486,Projects!A:B,2,FALSE))</f>
        <v/>
      </c>
      <c r="E486" s="1" t="str">
        <f t="shared" si="70"/>
        <v/>
      </c>
      <c r="F486" t="str">
        <f t="shared" si="71"/>
        <v/>
      </c>
      <c r="G486" t="str">
        <f>IF(C486="","",ProcessUrl(E486,F486))</f>
        <v/>
      </c>
      <c r="H486" t="str">
        <f t="shared" si="72"/>
        <v/>
      </c>
      <c r="I486" t="str">
        <f t="shared" si="73"/>
        <v/>
      </c>
      <c r="J486" t="str">
        <f>IF(C486="","",ProcessUrl(H486,I486))</f>
        <v/>
      </c>
      <c r="K486" s="7" t="str">
        <f t="shared" si="74"/>
        <v/>
      </c>
      <c r="L486" s="7" t="str">
        <f t="shared" si="75"/>
        <v/>
      </c>
      <c r="M486" s="7" t="str">
        <f t="shared" si="76"/>
        <v/>
      </c>
      <c r="N486" s="7" t="str">
        <f t="shared" si="77"/>
        <v/>
      </c>
      <c r="O486" s="7" t="str">
        <f t="shared" si="78"/>
        <v/>
      </c>
      <c r="P486" t="str">
        <f t="shared" si="79"/>
        <v/>
      </c>
      <c r="Q486" t="str">
        <f>IF(C486="","",ProcessUrl(P486,"GetTestResults"))</f>
        <v/>
      </c>
      <c r="R486" s="10" t="str">
        <f>IF(C486="","",JsProcess("JsonItem",JsProcess("JsonItem",Q486,"Passed"),"count"))</f>
        <v/>
      </c>
      <c r="S486" s="10" t="str">
        <f>IF(C486="","",JsProcess("JsonItem",JsProcess("JsonItem",Q486,"NotExecuted"),"count"))</f>
        <v/>
      </c>
    </row>
    <row r="487" spans="4:19" x14ac:dyDescent="0.25">
      <c r="D487" t="str">
        <f>IF(C487="","",VLOOKUP(A487,Projects!A:B,2,FALSE))</f>
        <v/>
      </c>
      <c r="E487" s="1" t="str">
        <f t="shared" si="70"/>
        <v/>
      </c>
      <c r="F487" t="str">
        <f t="shared" si="71"/>
        <v/>
      </c>
      <c r="G487" t="str">
        <f>IF(C487="","",ProcessUrl(E487,F487))</f>
        <v/>
      </c>
      <c r="H487" t="str">
        <f t="shared" si="72"/>
        <v/>
      </c>
      <c r="I487" t="str">
        <f t="shared" si="73"/>
        <v/>
      </c>
      <c r="J487" t="str">
        <f>IF(C487="","",ProcessUrl(H487,I487))</f>
        <v/>
      </c>
      <c r="K487" s="7" t="str">
        <f t="shared" si="74"/>
        <v/>
      </c>
      <c r="L487" s="7" t="str">
        <f t="shared" si="75"/>
        <v/>
      </c>
      <c r="M487" s="7" t="str">
        <f t="shared" si="76"/>
        <v/>
      </c>
      <c r="N487" s="7" t="str">
        <f t="shared" si="77"/>
        <v/>
      </c>
      <c r="O487" s="7" t="str">
        <f t="shared" si="78"/>
        <v/>
      </c>
      <c r="P487" t="str">
        <f t="shared" si="79"/>
        <v/>
      </c>
      <c r="Q487" t="str">
        <f>IF(C487="","",ProcessUrl(P487,"GetTestResults"))</f>
        <v/>
      </c>
      <c r="R487" s="10" t="str">
        <f>IF(C487="","",JsProcess("JsonItem",JsProcess("JsonItem",Q487,"Passed"),"count"))</f>
        <v/>
      </c>
      <c r="S487" s="10" t="str">
        <f>IF(C487="","",JsProcess("JsonItem",JsProcess("JsonItem",Q487,"NotExecuted"),"count"))</f>
        <v/>
      </c>
    </row>
    <row r="488" spans="4:19" x14ac:dyDescent="0.25">
      <c r="D488" t="str">
        <f>IF(C488="","",VLOOKUP(A488,Projects!A:B,2,FALSE))</f>
        <v/>
      </c>
      <c r="E488" s="1" t="str">
        <f t="shared" si="70"/>
        <v/>
      </c>
      <c r="F488" t="str">
        <f t="shared" si="71"/>
        <v/>
      </c>
      <c r="G488" t="str">
        <f>IF(C488="","",ProcessUrl(E488,F488))</f>
        <v/>
      </c>
      <c r="H488" t="str">
        <f t="shared" si="72"/>
        <v/>
      </c>
      <c r="I488" t="str">
        <f t="shared" si="73"/>
        <v/>
      </c>
      <c r="J488" t="str">
        <f>IF(C488="","",ProcessUrl(H488,I488))</f>
        <v/>
      </c>
      <c r="K488" s="7" t="str">
        <f t="shared" si="74"/>
        <v/>
      </c>
      <c r="L488" s="7" t="str">
        <f t="shared" si="75"/>
        <v/>
      </c>
      <c r="M488" s="7" t="str">
        <f t="shared" si="76"/>
        <v/>
      </c>
      <c r="N488" s="7" t="str">
        <f t="shared" si="77"/>
        <v/>
      </c>
      <c r="O488" s="7" t="str">
        <f t="shared" si="78"/>
        <v/>
      </c>
      <c r="P488" t="str">
        <f t="shared" si="79"/>
        <v/>
      </c>
      <c r="Q488" t="str">
        <f>IF(C488="","",ProcessUrl(P488,"GetTestResults"))</f>
        <v/>
      </c>
      <c r="R488" s="10" t="str">
        <f>IF(C488="","",JsProcess("JsonItem",JsProcess("JsonItem",Q488,"Passed"),"count"))</f>
        <v/>
      </c>
      <c r="S488" s="10" t="str">
        <f>IF(C488="","",JsProcess("JsonItem",JsProcess("JsonItem",Q488,"NotExecuted"),"count"))</f>
        <v/>
      </c>
    </row>
    <row r="489" spans="4:19" x14ac:dyDescent="0.25">
      <c r="D489" t="str">
        <f>IF(C489="","",VLOOKUP(A489,Projects!A:B,2,FALSE))</f>
        <v/>
      </c>
      <c r="E489" s="1" t="str">
        <f t="shared" si="70"/>
        <v/>
      </c>
      <c r="F489" t="str">
        <f t="shared" si="71"/>
        <v/>
      </c>
      <c r="G489" t="str">
        <f>IF(C489="","",ProcessUrl(E489,F489))</f>
        <v/>
      </c>
      <c r="H489" t="str">
        <f t="shared" si="72"/>
        <v/>
      </c>
      <c r="I489" t="str">
        <f t="shared" si="73"/>
        <v/>
      </c>
      <c r="J489" t="str">
        <f>IF(C489="","",ProcessUrl(H489,I489))</f>
        <v/>
      </c>
      <c r="K489" s="7" t="str">
        <f t="shared" si="74"/>
        <v/>
      </c>
      <c r="L489" s="7" t="str">
        <f t="shared" si="75"/>
        <v/>
      </c>
      <c r="M489" s="7" t="str">
        <f t="shared" si="76"/>
        <v/>
      </c>
      <c r="N489" s="7" t="str">
        <f t="shared" si="77"/>
        <v/>
      </c>
      <c r="O489" s="7" t="str">
        <f t="shared" si="78"/>
        <v/>
      </c>
      <c r="P489" t="str">
        <f t="shared" si="79"/>
        <v/>
      </c>
      <c r="Q489" t="str">
        <f>IF(C489="","",ProcessUrl(P489,"GetTestResults"))</f>
        <v/>
      </c>
      <c r="R489" s="10" t="str">
        <f>IF(C489="","",JsProcess("JsonItem",JsProcess("JsonItem",Q489,"Passed"),"count"))</f>
        <v/>
      </c>
      <c r="S489" s="10" t="str">
        <f>IF(C489="","",JsProcess("JsonItem",JsProcess("JsonItem",Q489,"NotExecuted"),"count"))</f>
        <v/>
      </c>
    </row>
    <row r="490" spans="4:19" x14ac:dyDescent="0.25">
      <c r="D490" t="str">
        <f>IF(C490="","",VLOOKUP(A490,Projects!A:B,2,FALSE))</f>
        <v/>
      </c>
      <c r="E490" s="1" t="str">
        <f t="shared" si="70"/>
        <v/>
      </c>
      <c r="F490" t="str">
        <f t="shared" si="71"/>
        <v/>
      </c>
      <c r="G490" t="str">
        <f>IF(C490="","",ProcessUrl(E490,F490))</f>
        <v/>
      </c>
      <c r="H490" t="str">
        <f t="shared" si="72"/>
        <v/>
      </c>
      <c r="I490" t="str">
        <f t="shared" si="73"/>
        <v/>
      </c>
      <c r="J490" t="str">
        <f>IF(C490="","",ProcessUrl(H490,I490))</f>
        <v/>
      </c>
      <c r="K490" s="7" t="str">
        <f t="shared" si="74"/>
        <v/>
      </c>
      <c r="L490" s="7" t="str">
        <f t="shared" si="75"/>
        <v/>
      </c>
      <c r="M490" s="7" t="str">
        <f t="shared" si="76"/>
        <v/>
      </c>
      <c r="N490" s="7" t="str">
        <f t="shared" si="77"/>
        <v/>
      </c>
      <c r="O490" s="7" t="str">
        <f t="shared" si="78"/>
        <v/>
      </c>
      <c r="P490" t="str">
        <f t="shared" si="79"/>
        <v/>
      </c>
      <c r="Q490" t="str">
        <f>IF(C490="","",ProcessUrl(P490,"GetTestResults"))</f>
        <v/>
      </c>
      <c r="R490" s="10" t="str">
        <f>IF(C490="","",JsProcess("JsonItem",JsProcess("JsonItem",Q490,"Passed"),"count"))</f>
        <v/>
      </c>
      <c r="S490" s="10" t="str">
        <f>IF(C490="","",JsProcess("JsonItem",JsProcess("JsonItem",Q490,"NotExecuted"),"count"))</f>
        <v/>
      </c>
    </row>
    <row r="491" spans="4:19" x14ac:dyDescent="0.25">
      <c r="D491" t="str">
        <f>IF(C491="","",VLOOKUP(A491,Projects!A:B,2,FALSE))</f>
        <v/>
      </c>
      <c r="E491" s="1" t="str">
        <f t="shared" si="70"/>
        <v/>
      </c>
      <c r="F491" t="str">
        <f t="shared" si="71"/>
        <v/>
      </c>
      <c r="G491" t="str">
        <f>IF(C491="","",ProcessUrl(E491,F491))</f>
        <v/>
      </c>
      <c r="H491" t="str">
        <f t="shared" si="72"/>
        <v/>
      </c>
      <c r="I491" t="str">
        <f t="shared" si="73"/>
        <v/>
      </c>
      <c r="J491" t="str">
        <f>IF(C491="","",ProcessUrl(H491,I491))</f>
        <v/>
      </c>
      <c r="K491" s="7" t="str">
        <f t="shared" si="74"/>
        <v/>
      </c>
      <c r="L491" s="7" t="str">
        <f t="shared" si="75"/>
        <v/>
      </c>
      <c r="M491" s="7" t="str">
        <f t="shared" si="76"/>
        <v/>
      </c>
      <c r="N491" s="7" t="str">
        <f t="shared" si="77"/>
        <v/>
      </c>
      <c r="O491" s="7" t="str">
        <f t="shared" si="78"/>
        <v/>
      </c>
      <c r="P491" t="str">
        <f t="shared" si="79"/>
        <v/>
      </c>
      <c r="Q491" t="str">
        <f>IF(C491="","",ProcessUrl(P491,"GetTestResults"))</f>
        <v/>
      </c>
      <c r="R491" s="10" t="str">
        <f>IF(C491="","",JsProcess("JsonItem",JsProcess("JsonItem",Q491,"Passed"),"count"))</f>
        <v/>
      </c>
      <c r="S491" s="10" t="str">
        <f>IF(C491="","",JsProcess("JsonItem",JsProcess("JsonItem",Q491,"NotExecuted"),"count"))</f>
        <v/>
      </c>
    </row>
    <row r="492" spans="4:19" x14ac:dyDescent="0.25">
      <c r="D492" t="str">
        <f>IF(C492="","",VLOOKUP(A492,Projects!A:B,2,FALSE))</f>
        <v/>
      </c>
      <c r="E492" s="1" t="str">
        <f t="shared" si="70"/>
        <v/>
      </c>
      <c r="F492" t="str">
        <f t="shared" si="71"/>
        <v/>
      </c>
      <c r="G492" t="str">
        <f>IF(C492="","",ProcessUrl(E492,F492))</f>
        <v/>
      </c>
      <c r="H492" t="str">
        <f t="shared" si="72"/>
        <v/>
      </c>
      <c r="I492" t="str">
        <f t="shared" si="73"/>
        <v/>
      </c>
      <c r="J492" t="str">
        <f>IF(C492="","",ProcessUrl(H492,I492))</f>
        <v/>
      </c>
      <c r="K492" s="7" t="str">
        <f t="shared" si="74"/>
        <v/>
      </c>
      <c r="L492" s="7" t="str">
        <f t="shared" si="75"/>
        <v/>
      </c>
      <c r="M492" s="7" t="str">
        <f t="shared" si="76"/>
        <v/>
      </c>
      <c r="N492" s="7" t="str">
        <f t="shared" si="77"/>
        <v/>
      </c>
      <c r="O492" s="7" t="str">
        <f t="shared" si="78"/>
        <v/>
      </c>
      <c r="P492" t="str">
        <f t="shared" si="79"/>
        <v/>
      </c>
      <c r="Q492" t="str">
        <f>IF(C492="","",ProcessUrl(P492,"GetTestResults"))</f>
        <v/>
      </c>
      <c r="R492" s="10" t="str">
        <f>IF(C492="","",JsProcess("JsonItem",JsProcess("JsonItem",Q492,"Passed"),"count"))</f>
        <v/>
      </c>
      <c r="S492" s="10" t="str">
        <f>IF(C492="","",JsProcess("JsonItem",JsProcess("JsonItem",Q492,"NotExecuted"),"count"))</f>
        <v/>
      </c>
    </row>
    <row r="493" spans="4:19" x14ac:dyDescent="0.25">
      <c r="D493" t="str">
        <f>IF(C493="","",VLOOKUP(A493,Projects!A:B,2,FALSE))</f>
        <v/>
      </c>
      <c r="E493" s="1" t="str">
        <f t="shared" si="70"/>
        <v/>
      </c>
      <c r="F493" t="str">
        <f t="shared" si="71"/>
        <v/>
      </c>
      <c r="G493" t="str">
        <f>IF(C493="","",ProcessUrl(E493,F493))</f>
        <v/>
      </c>
      <c r="H493" t="str">
        <f t="shared" si="72"/>
        <v/>
      </c>
      <c r="I493" t="str">
        <f t="shared" si="73"/>
        <v/>
      </c>
      <c r="J493" t="str">
        <f>IF(C493="","",ProcessUrl(H493,I493))</f>
        <v/>
      </c>
      <c r="K493" s="7" t="str">
        <f t="shared" si="74"/>
        <v/>
      </c>
      <c r="L493" s="7" t="str">
        <f t="shared" si="75"/>
        <v/>
      </c>
      <c r="M493" s="7" t="str">
        <f t="shared" si="76"/>
        <v/>
      </c>
      <c r="N493" s="7" t="str">
        <f t="shared" si="77"/>
        <v/>
      </c>
      <c r="O493" s="7" t="str">
        <f t="shared" si="78"/>
        <v/>
      </c>
      <c r="P493" t="str">
        <f t="shared" si="79"/>
        <v/>
      </c>
      <c r="Q493" t="str">
        <f>IF(C493="","",ProcessUrl(P493,"GetTestResults"))</f>
        <v/>
      </c>
      <c r="R493" s="10" t="str">
        <f>IF(C493="","",JsProcess("JsonItem",JsProcess("JsonItem",Q493,"Passed"),"count"))</f>
        <v/>
      </c>
      <c r="S493" s="10" t="str">
        <f>IF(C493="","",JsProcess("JsonItem",JsProcess("JsonItem",Q493,"NotExecuted"),"count"))</f>
        <v/>
      </c>
    </row>
    <row r="494" spans="4:19" x14ac:dyDescent="0.25">
      <c r="D494" t="str">
        <f>IF(C494="","",VLOOKUP(A494,Projects!A:B,2,FALSE))</f>
        <v/>
      </c>
      <c r="E494" s="1" t="str">
        <f t="shared" si="70"/>
        <v/>
      </c>
      <c r="F494" t="str">
        <f t="shared" si="71"/>
        <v/>
      </c>
      <c r="G494" t="str">
        <f>IF(C494="","",ProcessUrl(E494,F494))</f>
        <v/>
      </c>
      <c r="H494" t="str">
        <f t="shared" si="72"/>
        <v/>
      </c>
      <c r="I494" t="str">
        <f t="shared" si="73"/>
        <v/>
      </c>
      <c r="J494" t="str">
        <f>IF(C494="","",ProcessUrl(H494,I494))</f>
        <v/>
      </c>
      <c r="K494" s="7" t="str">
        <f t="shared" si="74"/>
        <v/>
      </c>
      <c r="L494" s="7" t="str">
        <f t="shared" si="75"/>
        <v/>
      </c>
      <c r="M494" s="7" t="str">
        <f t="shared" si="76"/>
        <v/>
      </c>
      <c r="N494" s="7" t="str">
        <f t="shared" si="77"/>
        <v/>
      </c>
      <c r="O494" s="7" t="str">
        <f t="shared" si="78"/>
        <v/>
      </c>
      <c r="P494" t="str">
        <f t="shared" si="79"/>
        <v/>
      </c>
      <c r="Q494" t="str">
        <f>IF(C494="","",ProcessUrl(P494,"GetTestResults"))</f>
        <v/>
      </c>
      <c r="R494" s="10" t="str">
        <f>IF(C494="","",JsProcess("JsonItem",JsProcess("JsonItem",Q494,"Passed"),"count"))</f>
        <v/>
      </c>
      <c r="S494" s="10" t="str">
        <f>IF(C494="","",JsProcess("JsonItem",JsProcess("JsonItem",Q494,"NotExecuted"),"count"))</f>
        <v/>
      </c>
    </row>
    <row r="495" spans="4:19" x14ac:dyDescent="0.25">
      <c r="D495" t="str">
        <f>IF(C495="","",VLOOKUP(A495,Projects!A:B,2,FALSE))</f>
        <v/>
      </c>
      <c r="E495" s="1" t="str">
        <f t="shared" si="70"/>
        <v/>
      </c>
      <c r="F495" t="str">
        <f t="shared" si="71"/>
        <v/>
      </c>
      <c r="G495" t="str">
        <f>IF(C495="","",ProcessUrl(E495,F495))</f>
        <v/>
      </c>
      <c r="H495" t="str">
        <f t="shared" si="72"/>
        <v/>
      </c>
      <c r="I495" t="str">
        <f t="shared" si="73"/>
        <v/>
      </c>
      <c r="J495" t="str">
        <f>IF(C495="","",ProcessUrl(H495,I495))</f>
        <v/>
      </c>
      <c r="K495" s="7" t="str">
        <f t="shared" si="74"/>
        <v/>
      </c>
      <c r="L495" s="7" t="str">
        <f t="shared" si="75"/>
        <v/>
      </c>
      <c r="M495" s="7" t="str">
        <f t="shared" si="76"/>
        <v/>
      </c>
      <c r="N495" s="7" t="str">
        <f t="shared" si="77"/>
        <v/>
      </c>
      <c r="O495" s="7" t="str">
        <f t="shared" si="78"/>
        <v/>
      </c>
      <c r="P495" t="str">
        <f t="shared" si="79"/>
        <v/>
      </c>
      <c r="Q495" t="str">
        <f>IF(C495="","",ProcessUrl(P495,"GetTestResults"))</f>
        <v/>
      </c>
      <c r="R495" s="10" t="str">
        <f>IF(C495="","",JsProcess("JsonItem",JsProcess("JsonItem",Q495,"Passed"),"count"))</f>
        <v/>
      </c>
      <c r="S495" s="10" t="str">
        <f>IF(C495="","",JsProcess("JsonItem",JsProcess("JsonItem",Q495,"NotExecuted"),"count"))</f>
        <v/>
      </c>
    </row>
    <row r="496" spans="4:19" x14ac:dyDescent="0.25">
      <c r="D496" t="str">
        <f>IF(C496="","",VLOOKUP(A496,Projects!A:B,2,FALSE))</f>
        <v/>
      </c>
      <c r="E496" s="1" t="str">
        <f t="shared" si="70"/>
        <v/>
      </c>
      <c r="F496" t="str">
        <f t="shared" si="71"/>
        <v/>
      </c>
      <c r="G496" t="str">
        <f>IF(C496="","",ProcessUrl(E496,F496))</f>
        <v/>
      </c>
      <c r="H496" t="str">
        <f t="shared" si="72"/>
        <v/>
      </c>
      <c r="I496" t="str">
        <f t="shared" si="73"/>
        <v/>
      </c>
      <c r="J496" t="str">
        <f>IF(C496="","",ProcessUrl(H496,I496))</f>
        <v/>
      </c>
      <c r="K496" s="7" t="str">
        <f t="shared" si="74"/>
        <v/>
      </c>
      <c r="L496" s="7" t="str">
        <f t="shared" si="75"/>
        <v/>
      </c>
      <c r="M496" s="7" t="str">
        <f t="shared" si="76"/>
        <v/>
      </c>
      <c r="N496" s="7" t="str">
        <f t="shared" si="77"/>
        <v/>
      </c>
      <c r="O496" s="7" t="str">
        <f t="shared" si="78"/>
        <v/>
      </c>
      <c r="P496" t="str">
        <f t="shared" si="79"/>
        <v/>
      </c>
      <c r="Q496" t="str">
        <f>IF(C496="","",ProcessUrl(P496,"GetTestResults"))</f>
        <v/>
      </c>
      <c r="R496" s="10" t="str">
        <f>IF(C496="","",JsProcess("JsonItem",JsProcess("JsonItem",Q496,"Passed"),"count"))</f>
        <v/>
      </c>
      <c r="S496" s="10" t="str">
        <f>IF(C496="","",JsProcess("JsonItem",JsProcess("JsonItem",Q496,"NotExecuted"),"count"))</f>
        <v/>
      </c>
    </row>
    <row r="497" spans="4:19" x14ac:dyDescent="0.25">
      <c r="D497" t="str">
        <f>IF(C497="","",VLOOKUP(A497,Projects!A:B,2,FALSE))</f>
        <v/>
      </c>
      <c r="E497" s="1" t="str">
        <f t="shared" si="70"/>
        <v/>
      </c>
      <c r="F497" t="str">
        <f t="shared" si="71"/>
        <v/>
      </c>
      <c r="G497" t="str">
        <f>IF(C497="","",ProcessUrl(E497,F497))</f>
        <v/>
      </c>
      <c r="H497" t="str">
        <f t="shared" si="72"/>
        <v/>
      </c>
      <c r="I497" t="str">
        <f t="shared" si="73"/>
        <v/>
      </c>
      <c r="J497" t="str">
        <f>IF(C497="","",ProcessUrl(H497,I497))</f>
        <v/>
      </c>
      <c r="K497" s="7" t="str">
        <f t="shared" si="74"/>
        <v/>
      </c>
      <c r="L497" s="7" t="str">
        <f t="shared" si="75"/>
        <v/>
      </c>
      <c r="M497" s="7" t="str">
        <f t="shared" si="76"/>
        <v/>
      </c>
      <c r="N497" s="7" t="str">
        <f t="shared" si="77"/>
        <v/>
      </c>
      <c r="O497" s="7" t="str">
        <f t="shared" si="78"/>
        <v/>
      </c>
      <c r="P497" t="str">
        <f t="shared" si="79"/>
        <v/>
      </c>
      <c r="Q497" t="str">
        <f>IF(C497="","",ProcessUrl(P497,"GetTestResults"))</f>
        <v/>
      </c>
      <c r="R497" s="10" t="str">
        <f>IF(C497="","",JsProcess("JsonItem",JsProcess("JsonItem",Q497,"Passed"),"count"))</f>
        <v/>
      </c>
      <c r="S497" s="10" t="str">
        <f>IF(C497="","",JsProcess("JsonItem",JsProcess("JsonItem",Q497,"NotExecuted"),"count"))</f>
        <v/>
      </c>
    </row>
    <row r="498" spans="4:19" x14ac:dyDescent="0.25">
      <c r="D498" t="str">
        <f>IF(C498="","",VLOOKUP(A498,Projects!A:B,2,FALSE))</f>
        <v/>
      </c>
      <c r="E498" s="1" t="str">
        <f t="shared" si="70"/>
        <v/>
      </c>
      <c r="F498" t="str">
        <f t="shared" si="71"/>
        <v/>
      </c>
      <c r="G498" t="str">
        <f>IF(C498="","",ProcessUrl(E498,F498))</f>
        <v/>
      </c>
      <c r="H498" t="str">
        <f t="shared" si="72"/>
        <v/>
      </c>
      <c r="I498" t="str">
        <f t="shared" si="73"/>
        <v/>
      </c>
      <c r="J498" t="str">
        <f>IF(C498="","",ProcessUrl(H498,I498))</f>
        <v/>
      </c>
      <c r="K498" s="7" t="str">
        <f t="shared" si="74"/>
        <v/>
      </c>
      <c r="L498" s="7" t="str">
        <f t="shared" si="75"/>
        <v/>
      </c>
      <c r="M498" s="7" t="str">
        <f t="shared" si="76"/>
        <v/>
      </c>
      <c r="N498" s="7" t="str">
        <f t="shared" si="77"/>
        <v/>
      </c>
      <c r="O498" s="7" t="str">
        <f t="shared" si="78"/>
        <v/>
      </c>
      <c r="P498" t="str">
        <f t="shared" si="79"/>
        <v/>
      </c>
      <c r="Q498" t="str">
        <f>IF(C498="","",ProcessUrl(P498,"GetTestResults"))</f>
        <v/>
      </c>
      <c r="R498" s="10" t="str">
        <f>IF(C498="","",JsProcess("JsonItem",JsProcess("JsonItem",Q498,"Passed"),"count"))</f>
        <v/>
      </c>
      <c r="S498" s="10" t="str">
        <f>IF(C498="","",JsProcess("JsonItem",JsProcess("JsonItem",Q498,"NotExecuted"),"count"))</f>
        <v/>
      </c>
    </row>
    <row r="499" spans="4:19" x14ac:dyDescent="0.25">
      <c r="D499" t="str">
        <f>IF(C499="","",VLOOKUP(A499,Projects!A:B,2,FALSE))</f>
        <v/>
      </c>
      <c r="E499" s="1" t="str">
        <f t="shared" si="70"/>
        <v/>
      </c>
      <c r="F499" t="str">
        <f t="shared" si="71"/>
        <v/>
      </c>
      <c r="G499" t="str">
        <f>IF(C499="","",ProcessUrl(E499,F499))</f>
        <v/>
      </c>
      <c r="H499" t="str">
        <f t="shared" si="72"/>
        <v/>
      </c>
      <c r="I499" t="str">
        <f t="shared" si="73"/>
        <v/>
      </c>
      <c r="J499" t="str">
        <f>IF(C499="","",ProcessUrl(H499,I499))</f>
        <v/>
      </c>
      <c r="K499" s="7" t="str">
        <f t="shared" si="74"/>
        <v/>
      </c>
      <c r="L499" s="7" t="str">
        <f t="shared" si="75"/>
        <v/>
      </c>
      <c r="M499" s="7" t="str">
        <f t="shared" si="76"/>
        <v/>
      </c>
      <c r="N499" s="7" t="str">
        <f t="shared" si="77"/>
        <v/>
      </c>
      <c r="O499" s="7" t="str">
        <f t="shared" si="78"/>
        <v/>
      </c>
      <c r="P499" t="str">
        <f t="shared" si="79"/>
        <v/>
      </c>
      <c r="Q499" t="str">
        <f>IF(C499="","",ProcessUrl(P499,"GetTestResults"))</f>
        <v/>
      </c>
      <c r="R499" s="10" t="str">
        <f>IF(C499="","",JsProcess("JsonItem",JsProcess("JsonItem",Q499,"Passed"),"count"))</f>
        <v/>
      </c>
      <c r="S499" s="10" t="str">
        <f>IF(C499="","",JsProcess("JsonItem",JsProcess("JsonItem",Q499,"NotExecuted"),"count"))</f>
        <v/>
      </c>
    </row>
  </sheetData>
  <mergeCells count="5">
    <mergeCell ref="K1:O1"/>
    <mergeCell ref="R1:S1"/>
    <mergeCell ref="A1:A2"/>
    <mergeCell ref="B1:B2"/>
    <mergeCell ref="C1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2"/>
  <sheetViews>
    <sheetView workbookViewId="0">
      <selection activeCell="A21" sqref="A21"/>
    </sheetView>
  </sheetViews>
  <sheetFormatPr defaultRowHeight="15" x14ac:dyDescent="0.25"/>
  <cols>
    <col min="1" max="1" width="64.28515625" customWidth="1"/>
  </cols>
  <sheetData>
    <row r="1" spans="1:2" x14ac:dyDescent="0.25">
      <c r="A1" t="s">
        <v>21</v>
      </c>
      <c r="B1" t="s">
        <v>22</v>
      </c>
    </row>
    <row r="2" spans="1:2" x14ac:dyDescent="0.25">
      <c r="A2" t="s">
        <v>23</v>
      </c>
      <c r="B2" t="s">
        <v>24</v>
      </c>
    </row>
    <row r="3" spans="1:2" x14ac:dyDescent="0.25">
      <c r="A3" t="s">
        <v>25</v>
      </c>
      <c r="B3" t="s">
        <v>26</v>
      </c>
    </row>
    <row r="4" spans="1:2" x14ac:dyDescent="0.25">
      <c r="A4" t="s">
        <v>27</v>
      </c>
      <c r="B4" t="s">
        <v>28</v>
      </c>
    </row>
    <row r="5" spans="1:2" x14ac:dyDescent="0.25">
      <c r="A5" t="s">
        <v>29</v>
      </c>
      <c r="B5" t="s">
        <v>30</v>
      </c>
    </row>
    <row r="6" spans="1:2" x14ac:dyDescent="0.25">
      <c r="A6" t="s">
        <v>31</v>
      </c>
      <c r="B6" t="s">
        <v>32</v>
      </c>
    </row>
    <row r="7" spans="1:2" x14ac:dyDescent="0.25">
      <c r="A7" t="s">
        <v>33</v>
      </c>
      <c r="B7" t="s">
        <v>34</v>
      </c>
    </row>
    <row r="8" spans="1:2" x14ac:dyDescent="0.25">
      <c r="A8" t="s">
        <v>35</v>
      </c>
      <c r="B8" t="s">
        <v>36</v>
      </c>
    </row>
    <row r="9" spans="1:2" x14ac:dyDescent="0.25">
      <c r="A9" t="s">
        <v>37</v>
      </c>
      <c r="B9" t="s">
        <v>38</v>
      </c>
    </row>
    <row r="10" spans="1:2" x14ac:dyDescent="0.25">
      <c r="A10" t="s">
        <v>39</v>
      </c>
      <c r="B10" t="s">
        <v>40</v>
      </c>
    </row>
    <row r="11" spans="1:2" x14ac:dyDescent="0.25">
      <c r="A11" t="s">
        <v>41</v>
      </c>
      <c r="B11" t="s">
        <v>42</v>
      </c>
    </row>
    <row r="12" spans="1:2" x14ac:dyDescent="0.25">
      <c r="A12" t="s">
        <v>43</v>
      </c>
      <c r="B12" t="s">
        <v>44</v>
      </c>
    </row>
    <row r="13" spans="1:2" x14ac:dyDescent="0.25">
      <c r="A13" t="s">
        <v>45</v>
      </c>
      <c r="B13" t="s">
        <v>46</v>
      </c>
    </row>
    <row r="14" spans="1:2" x14ac:dyDescent="0.25">
      <c r="A14" t="s">
        <v>47</v>
      </c>
      <c r="B14" t="s">
        <v>48</v>
      </c>
    </row>
    <row r="15" spans="1:2" x14ac:dyDescent="0.25">
      <c r="A15" t="s">
        <v>49</v>
      </c>
      <c r="B15" t="s">
        <v>50</v>
      </c>
    </row>
    <row r="16" spans="1:2" x14ac:dyDescent="0.25">
      <c r="A16" t="s">
        <v>51</v>
      </c>
      <c r="B16" t="s">
        <v>52</v>
      </c>
    </row>
    <row r="17" spans="1:2" x14ac:dyDescent="0.25">
      <c r="A17" t="s">
        <v>53</v>
      </c>
      <c r="B17" t="s">
        <v>54</v>
      </c>
    </row>
    <row r="18" spans="1:2" x14ac:dyDescent="0.25">
      <c r="A18" t="s">
        <v>55</v>
      </c>
      <c r="B18" t="s">
        <v>56</v>
      </c>
    </row>
    <row r="19" spans="1:2" x14ac:dyDescent="0.25">
      <c r="A19" t="s">
        <v>57</v>
      </c>
      <c r="B19" t="s">
        <v>58</v>
      </c>
    </row>
    <row r="20" spans="1:2" x14ac:dyDescent="0.25">
      <c r="A20" t="s">
        <v>59</v>
      </c>
      <c r="B20" t="s">
        <v>60</v>
      </c>
    </row>
    <row r="21" spans="1:2" x14ac:dyDescent="0.25">
      <c r="A21" t="s">
        <v>61</v>
      </c>
      <c r="B21" t="s">
        <v>62</v>
      </c>
    </row>
    <row r="22" spans="1:2" x14ac:dyDescent="0.25">
      <c r="A22" t="s">
        <v>63</v>
      </c>
      <c r="B22" t="s">
        <v>64</v>
      </c>
    </row>
    <row r="23" spans="1:2" x14ac:dyDescent="0.25">
      <c r="A23" t="s">
        <v>65</v>
      </c>
      <c r="B23" t="s">
        <v>66</v>
      </c>
    </row>
    <row r="24" spans="1:2" x14ac:dyDescent="0.25">
      <c r="A24" t="s">
        <v>67</v>
      </c>
      <c r="B24" t="s">
        <v>68</v>
      </c>
    </row>
    <row r="25" spans="1:2" x14ac:dyDescent="0.25">
      <c r="A25" t="s">
        <v>69</v>
      </c>
      <c r="B25" t="s">
        <v>70</v>
      </c>
    </row>
    <row r="26" spans="1:2" x14ac:dyDescent="0.25">
      <c r="A26" t="s">
        <v>71</v>
      </c>
      <c r="B26" t="s">
        <v>72</v>
      </c>
    </row>
    <row r="27" spans="1:2" x14ac:dyDescent="0.25">
      <c r="A27" t="s">
        <v>73</v>
      </c>
      <c r="B27" t="s">
        <v>74</v>
      </c>
    </row>
    <row r="28" spans="1:2" x14ac:dyDescent="0.25">
      <c r="A28" t="s">
        <v>75</v>
      </c>
      <c r="B28" t="s">
        <v>76</v>
      </c>
    </row>
    <row r="29" spans="1:2" x14ac:dyDescent="0.25">
      <c r="A29" t="s">
        <v>77</v>
      </c>
      <c r="B29" t="s">
        <v>78</v>
      </c>
    </row>
    <row r="30" spans="1:2" x14ac:dyDescent="0.25">
      <c r="A30" t="s">
        <v>79</v>
      </c>
      <c r="B30" t="s">
        <v>80</v>
      </c>
    </row>
    <row r="31" spans="1:2" x14ac:dyDescent="0.25">
      <c r="A31" t="s">
        <v>81</v>
      </c>
      <c r="B31" t="s">
        <v>82</v>
      </c>
    </row>
    <row r="32" spans="1:2" x14ac:dyDescent="0.25">
      <c r="A32" t="s">
        <v>83</v>
      </c>
      <c r="B32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TFS</vt:lpstr>
      <vt:lpstr>Projects</vt:lpstr>
    </vt:vector>
  </TitlesOfParts>
  <Company>TTX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Chohan, S. (Sumit)</dc:creator>
  <cp:lastModifiedBy>Chohan, S. (Sumit)</cp:lastModifiedBy>
  <dcterms:created xsi:type="dcterms:W3CDTF">2017-05-31T19:30:19Z</dcterms:created>
  <dcterms:modified xsi:type="dcterms:W3CDTF">2017-06-13T21:03:20Z</dcterms:modified>
</cp:coreProperties>
</file>